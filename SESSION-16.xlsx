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0" documentId="8_{06AC5A31-1D1C-4C39-9B32-DFA3A6ECBC00}" xr6:coauthVersionLast="47" xr6:coauthVersionMax="47" xr10:uidLastSave="{00000000-0000-0000-0000-000000000000}"/>
  <bookViews>
    <workbookView xWindow="-108" yWindow="-108" windowWidth="23256" windowHeight="12456" xr2:uid="{16254742-C15D-4533-A63C-BC936A770F8D}"/>
  </bookViews>
  <sheets>
    <sheet name="1" sheetId="1" r:id="rId1"/>
    <sheet name="2" sheetId="2" r:id="rId2"/>
    <sheet name="3&amp;4" sheetId="3" r:id="rId3"/>
    <sheet name="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G19" i="3"/>
  <c r="F19" i="3"/>
  <c r="F18" i="3"/>
  <c r="H19" i="3"/>
  <c r="G18" i="3"/>
  <c r="F17" i="3"/>
  <c r="G17" i="3"/>
  <c r="H17" i="3"/>
  <c r="H7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G6" i="1"/>
</calcChain>
</file>

<file path=xl/sharedStrings.xml><?xml version="1.0" encoding="utf-8"?>
<sst xmlns="http://schemas.openxmlformats.org/spreadsheetml/2006/main" count="42" uniqueCount="36">
  <si>
    <t>song_name</t>
  </si>
  <si>
    <t>danceability</t>
  </si>
  <si>
    <t>energy</t>
  </si>
  <si>
    <t>popularity</t>
  </si>
  <si>
    <t>Song_1</t>
  </si>
  <si>
    <t>Song_2</t>
  </si>
  <si>
    <t>Song_3</t>
  </si>
  <si>
    <t>Song_4</t>
  </si>
  <si>
    <t>Song_5</t>
  </si>
  <si>
    <t>Song_6</t>
  </si>
  <si>
    <t>Song_7</t>
  </si>
  <si>
    <t>Song_8</t>
  </si>
  <si>
    <t>Song_9</t>
  </si>
  <si>
    <t>Song_10</t>
  </si>
  <si>
    <t>Song_11</t>
  </si>
  <si>
    <t>Song_12</t>
  </si>
  <si>
    <t> Pearson correlation coefficient between danceability and popularity</t>
  </si>
  <si>
    <t>player_name</t>
  </si>
  <si>
    <t>total_runs</t>
  </si>
  <si>
    <t>ig_followers_m</t>
  </si>
  <si>
    <t>Virat Kohli</t>
  </si>
  <si>
    <t>Rohit Sharma</t>
  </si>
  <si>
    <t>MS Dhoni</t>
  </si>
  <si>
    <t>KL Rahul</t>
  </si>
  <si>
    <t>Shubman Gill</t>
  </si>
  <si>
    <t>Rinku Singh</t>
  </si>
  <si>
    <t>Suryakumar Yadav</t>
  </si>
  <si>
    <t>Hardik Pandya</t>
  </si>
  <si>
    <t>Rishabh Pant</t>
  </si>
  <si>
    <t>Yashasvi Jaiswal</t>
  </si>
  <si>
    <t>Runs rank</t>
  </si>
  <si>
    <t>Spearman correlation between runs and followers</t>
  </si>
  <si>
    <t>Follower rank</t>
  </si>
  <si>
    <t>price</t>
  </si>
  <si>
    <t>user_rating</t>
  </si>
  <si>
    <t>num_reviews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</si>
</sst>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/>
    <xf numFmtId="0" fontId="1" fillId="0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0</xdr:row>
      <xdr:rowOff>129540</xdr:rowOff>
    </xdr:from>
    <xdr:to>
      <xdr:col>19</xdr:col>
      <xdr:colOff>60960</xdr:colOff>
      <xdr:row>21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911BB4-AF73-D2D3-3FEC-7FA8D05FC6C2}"/>
                </a:ext>
              </a:extLst>
            </xdr:cNvPr>
            <xdr:cNvSpPr txBox="1"/>
          </xdr:nvSpPr>
          <xdr:spPr>
            <a:xfrm>
              <a:off x="411480" y="129540"/>
              <a:ext cx="11231880" cy="374904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Pitfall 1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 Two Things Happen Together, But One Didn't Cause the Other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Core Idea: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Just because two things go up at the same time doesn't mean Thing A is causing Thing B. A hidden third factor might be causing both.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Simple Analogy: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Think of ice cream sales and sunburns. On hot summer days, ice cream sales go up, and sunburns go up. Ice cream doesn't cause sunburns! The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sun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causes both.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Zomato Example: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You notice that on days when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Zomato orders spike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delivery times get super long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You might assume: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"Orders make drivers slow!"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Hidden Cause: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Heavy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rain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Rain makes everyone stay home and order food, while also causing heavy traffic and flooding. The rain is driving both numbers up at once.</a:t>
              </a:r>
            </a:p>
            <a:p>
              <a:pPr lvl="1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4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Pitfall 2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 Correlation Only Sees Straight Lines, Not Curves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Core Idea: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standard correlation score (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𝑟</m:t>
                  </m:r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only checks if two things go up or down in a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straight line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If the pattern curves or forms an upside-down "U" shape, standard correlation gets confused and reports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(meaning "no connection"), even when a strong connection exists.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Simple Analogy: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Think of sleeping.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 hours of sleep equates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bad mood.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8 hours of sleep equates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great mood.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16 hours of sleep equates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groggy, terrible mood.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If you only look for a straight line, it looks like sleep hours don't affect your mood at all because the numbers balance out to zero. But in reality, there is a clear "sweet spot."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YouTube Example: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1-minute Shorts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very high watch percentages (80%–90%).</a:t>
              </a: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10-minute videos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decent watch percentages (50%).</a:t>
              </a: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10-hour extended videos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tiny watch percentages (&lt;5%).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Because the numbers go up and then crash down (a curve), standard correlation averages it out to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It tricks you into thinking video length doesn't matter, even though it clearly does.</a:t>
              </a: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911BB4-AF73-D2D3-3FEC-7FA8D05FC6C2}"/>
                </a:ext>
              </a:extLst>
            </xdr:cNvPr>
            <xdr:cNvSpPr txBox="1"/>
          </xdr:nvSpPr>
          <xdr:spPr>
            <a:xfrm>
              <a:off x="411480" y="129540"/>
              <a:ext cx="11231880" cy="374904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Pitfall 1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 Two Things Happen Together, But One Didn't Cause the Other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Core Idea: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Just because two things go up at the same time doesn't mean Thing A is causing Thing B. A hidden third factor might be causing both.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Simple Analogy: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Think of ice cream sales and sunburns. On hot summer days, ice cream sales go up, and sunburns go up. Ice cream doesn't cause sunburns! The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sun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causes both.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Zomato Example: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You notice that on days when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Zomato orders spike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delivery times get super long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You might assume: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"Orders make drivers slow!"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Hidden Cause: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Heavy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rain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Rain makes everyone stay home and order food, while also causing heavy traffic and flooding. The rain is driving both numbers up at once.</a:t>
              </a:r>
            </a:p>
            <a:p>
              <a:pPr lvl="1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4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Pitfall 2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 Correlation Only Sees Straight Lines, Not Curves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Core Idea: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standard correlation score (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𝑟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only checks if two things go up or down in a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straight line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If the pattern curves or forms an upside-down "U" shape, standard correlation gets confused and reports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(meaning "no connection"), even when a strong connection exists.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Simple Analogy: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Think of sleeping.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 hours of sleep equates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bad mood.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8 hours of sleep equates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great mood.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16 hours of sleep equates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groggy, terrible mood.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If you only look for a straight line, it looks like sleep hours don't affect your mood at all because the numbers balance out to zero. But in reality, there is a clear "sweet spot."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YouTube Example: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1-minute Shorts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very high watch percentages (80%–90%).</a:t>
              </a: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10-minute videos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decent watch percentages (50%).</a:t>
              </a:r>
            </a:p>
            <a:p>
              <a:pPr lvl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10-hour extended videos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tiny watch percentages (&lt;5%).</a:t>
              </a:r>
            </a:p>
            <a:p>
              <a:pPr lvl="1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Because the numbers go up and then crash down (a curve), standard correlation averages it out to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It tricks you into thinking video length doesn't matter, even though it clearly does.</a:t>
              </a: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9948-A5A0-4BF2-9979-CBD7F091AD57}">
  <dimension ref="A1:G13"/>
  <sheetViews>
    <sheetView tabSelected="1" workbookViewId="0">
      <selection activeCell="M23" sqref="M23"/>
    </sheetView>
  </sheetViews>
  <sheetFormatPr defaultRowHeight="14.4" x14ac:dyDescent="0.3"/>
  <cols>
    <col min="1" max="1" width="10.109375" bestFit="1" customWidth="1"/>
    <col min="2" max="2" width="11.44140625" bestFit="1" customWidth="1"/>
    <col min="3" max="3" width="6.33203125" bestFit="1" customWidth="1"/>
    <col min="4" max="4" width="11" customWidth="1"/>
    <col min="6" max="6" width="60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7" x14ac:dyDescent="0.3">
      <c r="A2" s="3" t="s">
        <v>4</v>
      </c>
      <c r="B2" s="3">
        <v>0.85</v>
      </c>
      <c r="C2" s="3">
        <v>0.91</v>
      </c>
      <c r="D2" s="3">
        <v>88</v>
      </c>
    </row>
    <row r="3" spans="1:7" x14ac:dyDescent="0.3">
      <c r="A3" s="3" t="s">
        <v>5</v>
      </c>
      <c r="B3" s="3">
        <v>0.45</v>
      </c>
      <c r="C3" s="3">
        <v>0.5</v>
      </c>
      <c r="D3" s="3">
        <v>52</v>
      </c>
    </row>
    <row r="4" spans="1:7" x14ac:dyDescent="0.3">
      <c r="A4" s="3" t="s">
        <v>6</v>
      </c>
      <c r="B4" s="3">
        <v>0.78</v>
      </c>
      <c r="C4" s="3">
        <v>0.82</v>
      </c>
      <c r="D4" s="3">
        <v>79</v>
      </c>
    </row>
    <row r="5" spans="1:7" x14ac:dyDescent="0.3">
      <c r="A5" s="3" t="s">
        <v>7</v>
      </c>
      <c r="B5" s="3">
        <v>0.32</v>
      </c>
      <c r="C5" s="3">
        <v>0.35</v>
      </c>
      <c r="D5" s="3">
        <v>41</v>
      </c>
    </row>
    <row r="6" spans="1:7" x14ac:dyDescent="0.3">
      <c r="A6" s="3" t="s">
        <v>8</v>
      </c>
      <c r="B6" s="3">
        <v>0.9</v>
      </c>
      <c r="C6" s="3">
        <v>0.95</v>
      </c>
      <c r="D6" s="3">
        <v>95</v>
      </c>
      <c r="F6" s="4" t="s">
        <v>16</v>
      </c>
      <c r="G6" s="5">
        <f>CORREL(B2:B13,D2:D13)</f>
        <v>0.99710533499824916</v>
      </c>
    </row>
    <row r="7" spans="1:7" x14ac:dyDescent="0.3">
      <c r="A7" s="3" t="s">
        <v>9</v>
      </c>
      <c r="B7" s="3">
        <v>0.65</v>
      </c>
      <c r="C7" s="3">
        <v>0.7</v>
      </c>
      <c r="D7" s="3">
        <v>68</v>
      </c>
    </row>
    <row r="8" spans="1:7" x14ac:dyDescent="0.3">
      <c r="A8" s="3" t="s">
        <v>10</v>
      </c>
      <c r="B8" s="3">
        <v>0.4</v>
      </c>
      <c r="C8" s="3">
        <v>0.48</v>
      </c>
      <c r="D8" s="3">
        <v>45</v>
      </c>
    </row>
    <row r="9" spans="1:7" x14ac:dyDescent="0.3">
      <c r="A9" s="3" t="s">
        <v>11</v>
      </c>
      <c r="B9" s="3">
        <v>0.88</v>
      </c>
      <c r="C9" s="3">
        <v>0.89</v>
      </c>
      <c r="D9" s="3">
        <v>90</v>
      </c>
    </row>
    <row r="10" spans="1:7" x14ac:dyDescent="0.3">
      <c r="A10" s="3" t="s">
        <v>12</v>
      </c>
      <c r="B10" s="3">
        <v>0.55000000000000004</v>
      </c>
      <c r="C10" s="3">
        <v>0.6</v>
      </c>
      <c r="D10" s="3">
        <v>61</v>
      </c>
    </row>
    <row r="11" spans="1:7" x14ac:dyDescent="0.3">
      <c r="A11" s="3" t="s">
        <v>13</v>
      </c>
      <c r="B11" s="3">
        <v>0.72</v>
      </c>
      <c r="C11" s="3">
        <v>0.75</v>
      </c>
      <c r="D11" s="3">
        <v>76</v>
      </c>
    </row>
    <row r="12" spans="1:7" x14ac:dyDescent="0.3">
      <c r="A12" s="3" t="s">
        <v>14</v>
      </c>
      <c r="B12" s="3">
        <v>0.38</v>
      </c>
      <c r="C12" s="3">
        <v>0.42</v>
      </c>
      <c r="D12" s="3">
        <v>43</v>
      </c>
    </row>
    <row r="13" spans="1:7" x14ac:dyDescent="0.3">
      <c r="A13" s="3" t="s">
        <v>15</v>
      </c>
      <c r="B13" s="3">
        <v>0.81</v>
      </c>
      <c r="C13" s="3">
        <v>0.86</v>
      </c>
      <c r="D13" s="3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9D3F-793B-47C1-AF01-4418A4022323}">
  <dimension ref="A1:H11"/>
  <sheetViews>
    <sheetView workbookViewId="0">
      <selection activeCell="N22" sqref="N22"/>
    </sheetView>
  </sheetViews>
  <sheetFormatPr defaultRowHeight="14.4" x14ac:dyDescent="0.3"/>
  <cols>
    <col min="1" max="1" width="15.77734375" bestFit="1" customWidth="1"/>
    <col min="2" max="2" width="9.21875" bestFit="1" customWidth="1"/>
    <col min="3" max="3" width="13.33203125" bestFit="1" customWidth="1"/>
    <col min="5" max="5" width="12.109375" bestFit="1" customWidth="1"/>
    <col min="7" max="7" width="44.6640625" customWidth="1"/>
  </cols>
  <sheetData>
    <row r="1" spans="1:8" x14ac:dyDescent="0.3">
      <c r="A1" s="2" t="s">
        <v>17</v>
      </c>
      <c r="B1" s="2" t="s">
        <v>18</v>
      </c>
      <c r="C1" s="2" t="s">
        <v>19</v>
      </c>
      <c r="D1" s="6" t="s">
        <v>30</v>
      </c>
      <c r="E1" s="6" t="s">
        <v>32</v>
      </c>
    </row>
    <row r="2" spans="1:8" x14ac:dyDescent="0.3">
      <c r="A2" s="3" t="s">
        <v>20</v>
      </c>
      <c r="B2" s="3">
        <v>7263</v>
      </c>
      <c r="C2" s="3">
        <v>270</v>
      </c>
      <c r="D2" s="9">
        <f>_xlfn.RANK.AVG($B2,$B$2:$B$11)</f>
        <v>1</v>
      </c>
      <c r="E2" s="9">
        <f>_xlfn.RANK.AVG($C2,$C$2:$C$11)</f>
        <v>1</v>
      </c>
    </row>
    <row r="3" spans="1:8" x14ac:dyDescent="0.3">
      <c r="A3" s="3" t="s">
        <v>21</v>
      </c>
      <c r="B3" s="3">
        <v>6211</v>
      </c>
      <c r="C3" s="3">
        <v>40</v>
      </c>
      <c r="D3" s="7">
        <f t="shared" ref="D3:D11" si="0">_xlfn.RANK.AVG($B3,$B$2:$B$11)</f>
        <v>2</v>
      </c>
      <c r="E3" s="8">
        <f t="shared" ref="E3:E11" si="1">_xlfn.RANK.AVG($C3,$C$2:$C$11)</f>
        <v>3</v>
      </c>
    </row>
    <row r="4" spans="1:8" x14ac:dyDescent="0.3">
      <c r="A4" s="3" t="s">
        <v>22</v>
      </c>
      <c r="B4" s="3">
        <v>5082</v>
      </c>
      <c r="C4" s="3">
        <v>48</v>
      </c>
      <c r="D4" s="7">
        <f t="shared" si="0"/>
        <v>3</v>
      </c>
      <c r="E4" s="8">
        <f t="shared" si="1"/>
        <v>2</v>
      </c>
    </row>
    <row r="5" spans="1:8" x14ac:dyDescent="0.3">
      <c r="A5" s="3" t="s">
        <v>23</v>
      </c>
      <c r="B5" s="3">
        <v>4163</v>
      </c>
      <c r="C5" s="3">
        <v>20</v>
      </c>
      <c r="D5" s="7">
        <f t="shared" si="0"/>
        <v>4</v>
      </c>
      <c r="E5" s="8">
        <f t="shared" si="1"/>
        <v>5</v>
      </c>
    </row>
    <row r="6" spans="1:8" x14ac:dyDescent="0.3">
      <c r="A6" s="3" t="s">
        <v>24</v>
      </c>
      <c r="B6" s="3">
        <v>2790</v>
      </c>
      <c r="C6" s="3">
        <v>14</v>
      </c>
      <c r="D6" s="7">
        <f t="shared" si="0"/>
        <v>7</v>
      </c>
      <c r="E6" s="8">
        <f t="shared" si="1"/>
        <v>6</v>
      </c>
    </row>
    <row r="7" spans="1:8" x14ac:dyDescent="0.3">
      <c r="A7" s="3" t="s">
        <v>25</v>
      </c>
      <c r="B7" s="3">
        <v>890</v>
      </c>
      <c r="C7" s="3">
        <v>4.5</v>
      </c>
      <c r="D7" s="9">
        <f t="shared" si="0"/>
        <v>10</v>
      </c>
      <c r="E7" s="9">
        <f t="shared" si="1"/>
        <v>10</v>
      </c>
      <c r="G7" s="4" t="s">
        <v>31</v>
      </c>
      <c r="H7" s="10">
        <f>CORREL(D2:D11,E2:E11)</f>
        <v>0.83030303030303021</v>
      </c>
    </row>
    <row r="8" spans="1:8" x14ac:dyDescent="0.3">
      <c r="A8" s="3" t="s">
        <v>26</v>
      </c>
      <c r="B8" s="3">
        <v>3249</v>
      </c>
      <c r="C8" s="3">
        <v>12</v>
      </c>
      <c r="D8" s="7">
        <f t="shared" si="0"/>
        <v>5</v>
      </c>
      <c r="E8" s="8">
        <f t="shared" si="1"/>
        <v>7</v>
      </c>
    </row>
    <row r="9" spans="1:8" x14ac:dyDescent="0.3">
      <c r="A9" s="3" t="s">
        <v>27</v>
      </c>
      <c r="B9" s="3">
        <v>2309</v>
      </c>
      <c r="C9" s="3">
        <v>35</v>
      </c>
      <c r="D9" s="7">
        <f t="shared" si="0"/>
        <v>8</v>
      </c>
      <c r="E9" s="8">
        <f t="shared" si="1"/>
        <v>4</v>
      </c>
    </row>
    <row r="10" spans="1:8" x14ac:dyDescent="0.3">
      <c r="A10" s="3" t="s">
        <v>28</v>
      </c>
      <c r="B10" s="3">
        <v>2838</v>
      </c>
      <c r="C10" s="3">
        <v>11</v>
      </c>
      <c r="D10" s="7">
        <f t="shared" si="0"/>
        <v>6</v>
      </c>
      <c r="E10" s="8">
        <f t="shared" si="1"/>
        <v>8</v>
      </c>
    </row>
    <row r="11" spans="1:8" x14ac:dyDescent="0.3">
      <c r="A11" s="3" t="s">
        <v>29</v>
      </c>
      <c r="B11" s="3">
        <v>1607</v>
      </c>
      <c r="C11" s="3">
        <v>5.2</v>
      </c>
      <c r="D11" s="9">
        <f t="shared" si="0"/>
        <v>9</v>
      </c>
      <c r="E11" s="9">
        <f t="shared" si="1"/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4C85-6FCB-49E9-9FE8-AA1C00D57672}">
  <dimension ref="A1:H19"/>
  <sheetViews>
    <sheetView workbookViewId="0">
      <selection activeCell="K16" sqref="K16"/>
    </sheetView>
  </sheetViews>
  <sheetFormatPr defaultRowHeight="14.4" x14ac:dyDescent="0.3"/>
  <cols>
    <col min="2" max="2" width="9.88671875" bestFit="1" customWidth="1"/>
    <col min="3" max="3" width="11.44140625" bestFit="1" customWidth="1"/>
    <col min="5" max="5" width="11.77734375" bestFit="1" customWidth="1"/>
    <col min="6" max="6" width="5.33203125" bestFit="1" customWidth="1"/>
    <col min="7" max="7" width="10.109375" bestFit="1" customWidth="1"/>
    <col min="8" max="8" width="11.77734375" bestFit="1" customWidth="1"/>
  </cols>
  <sheetData>
    <row r="1" spans="1:8" x14ac:dyDescent="0.3">
      <c r="A1" s="12" t="s">
        <v>33</v>
      </c>
      <c r="B1" s="12" t="s">
        <v>34</v>
      </c>
      <c r="C1" s="12" t="s">
        <v>35</v>
      </c>
    </row>
    <row r="2" spans="1:8" x14ac:dyDescent="0.3">
      <c r="A2" s="11">
        <v>1200</v>
      </c>
      <c r="B2" s="11">
        <v>4.2</v>
      </c>
      <c r="C2" s="11">
        <v>1500</v>
      </c>
    </row>
    <row r="3" spans="1:8" x14ac:dyDescent="0.3">
      <c r="A3" s="11">
        <v>45000</v>
      </c>
      <c r="B3" s="11">
        <v>4.5999999999999996</v>
      </c>
      <c r="C3" s="11">
        <v>8500</v>
      </c>
    </row>
    <row r="4" spans="1:8" x14ac:dyDescent="0.3">
      <c r="A4" s="11">
        <v>800</v>
      </c>
      <c r="B4" s="11">
        <v>3.8</v>
      </c>
      <c r="C4" s="11">
        <v>420</v>
      </c>
    </row>
    <row r="5" spans="1:8" x14ac:dyDescent="0.3">
      <c r="A5" s="11">
        <v>15000</v>
      </c>
      <c r="B5" s="11">
        <v>4.0999999999999996</v>
      </c>
      <c r="C5" s="11">
        <v>3100</v>
      </c>
    </row>
    <row r="6" spans="1:8" x14ac:dyDescent="0.3">
      <c r="A6" s="11">
        <v>2500</v>
      </c>
      <c r="B6" s="11">
        <v>4.3</v>
      </c>
      <c r="C6" s="11">
        <v>2100</v>
      </c>
    </row>
    <row r="7" spans="1:8" x14ac:dyDescent="0.3">
      <c r="A7" s="11">
        <v>85000</v>
      </c>
      <c r="B7" s="11">
        <v>4.8</v>
      </c>
      <c r="C7" s="11">
        <v>12500</v>
      </c>
    </row>
    <row r="8" spans="1:8" x14ac:dyDescent="0.3">
      <c r="A8" s="11">
        <v>450</v>
      </c>
      <c r="B8" s="11">
        <v>3.5</v>
      </c>
      <c r="C8" s="11">
        <v>180</v>
      </c>
    </row>
    <row r="9" spans="1:8" x14ac:dyDescent="0.3">
      <c r="A9" s="11">
        <v>32000</v>
      </c>
      <c r="B9" s="11">
        <v>4.4000000000000004</v>
      </c>
      <c r="C9" s="11">
        <v>6400</v>
      </c>
    </row>
    <row r="10" spans="1:8" x14ac:dyDescent="0.3">
      <c r="A10" s="11">
        <v>1800</v>
      </c>
      <c r="B10" s="11">
        <v>4</v>
      </c>
      <c r="C10" s="11">
        <v>1100</v>
      </c>
    </row>
    <row r="11" spans="1:8" x14ac:dyDescent="0.3">
      <c r="A11" s="11">
        <v>62000</v>
      </c>
      <c r="B11" s="11">
        <v>4.7</v>
      </c>
      <c r="C11" s="11">
        <v>9800</v>
      </c>
    </row>
    <row r="12" spans="1:8" x14ac:dyDescent="0.3">
      <c r="A12" s="11">
        <v>950</v>
      </c>
      <c r="B12" s="11">
        <v>3.9</v>
      </c>
      <c r="C12" s="11">
        <v>620</v>
      </c>
    </row>
    <row r="13" spans="1:8" x14ac:dyDescent="0.3">
      <c r="A13" s="11">
        <v>22000</v>
      </c>
      <c r="B13" s="11">
        <v>4.2</v>
      </c>
      <c r="C13" s="11">
        <v>4500</v>
      </c>
    </row>
    <row r="16" spans="1:8" x14ac:dyDescent="0.3">
      <c r="E16" s="3"/>
      <c r="F16" s="13" t="s">
        <v>33</v>
      </c>
      <c r="G16" s="13" t="s">
        <v>34</v>
      </c>
      <c r="H16" s="13" t="s">
        <v>35</v>
      </c>
    </row>
    <row r="17" spans="5:8" x14ac:dyDescent="0.3">
      <c r="E17" s="13" t="s">
        <v>33</v>
      </c>
      <c r="F17" s="2">
        <f>CORREL(A$2:A$13,A$2:A$13)</f>
        <v>1</v>
      </c>
      <c r="G17" s="2">
        <f>CORREL(A2:A13,B2:B13)</f>
        <v>0.8529351105992764</v>
      </c>
      <c r="H17" s="2">
        <f>CORREL(A2:A13,C2:C13)</f>
        <v>0.98790884297711712</v>
      </c>
    </row>
    <row r="18" spans="5:8" x14ac:dyDescent="0.3">
      <c r="E18" s="13" t="s">
        <v>34</v>
      </c>
      <c r="F18" s="2">
        <f>CORREL(B2:B13,A2:A13)</f>
        <v>0.8529351105992764</v>
      </c>
      <c r="G18" s="2">
        <f>CORREL($B$2:$B$13,$B$2:$B$13)</f>
        <v>1.0000000000000002</v>
      </c>
      <c r="H18" s="2">
        <f>CORREL(B2:B13,C2:C13)</f>
        <v>0.90820974497473006</v>
      </c>
    </row>
    <row r="19" spans="5:8" x14ac:dyDescent="0.3">
      <c r="E19" s="13" t="s">
        <v>35</v>
      </c>
      <c r="F19" s="2">
        <f>CORREL(C2:C13,A2:A13)</f>
        <v>0.98790884297711712</v>
      </c>
      <c r="G19" s="2">
        <f>CORREL(C2:C13,B2:B13)</f>
        <v>0.90820974497473006</v>
      </c>
      <c r="H19" s="2">
        <f>CORREL(C2:C13,C2:C13)</f>
        <v>1.0000000000000002</v>
      </c>
    </row>
  </sheetData>
  <conditionalFormatting sqref="F17:H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FF0000"/>
        <color rgb="FFFFC000"/>
        <color rgb="FF0070C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3B32-8DA0-4E80-BBAE-E41ACEBD0CDE}">
  <dimension ref="A1"/>
  <sheetViews>
    <sheetView workbookViewId="0">
      <selection activeCell="W26" sqref="W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3&amp;4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2026-08-21T18:17:15Z</dcterms:created>
  <dcterms:modified xsi:type="dcterms:W3CDTF">2026-08-21T19:11:45Z</dcterms:modified>
</cp:coreProperties>
</file>