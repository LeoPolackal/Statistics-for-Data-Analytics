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139" documentId="8_{599ED7C2-10B9-441A-982E-A5DC65CC8314}" xr6:coauthVersionLast="47" xr6:coauthVersionMax="47" xr10:uidLastSave="{5609FE52-705A-4343-AAD5-6ABA9AA360AD}"/>
  <bookViews>
    <workbookView xWindow="-108" yWindow="-108" windowWidth="23256" windowHeight="12456" xr2:uid="{25868CB5-4D42-462D-966D-C816DFFF8DBC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xlnm._FilterDatabase" localSheetId="0" hidden="1">'1'!$A$1:$F$21</definedName>
  </definedNames>
  <calcPr calcId="191029"/>
  <pivotCaches>
    <pivotCache cacheId="4" r:id="rId6"/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" i="5"/>
  <c r="J6" i="1"/>
  <c r="J5" i="1"/>
  <c r="J3" i="3"/>
  <c r="J2" i="3"/>
</calcChain>
</file>

<file path=xl/sharedStrings.xml><?xml version="1.0" encoding="utf-8"?>
<sst xmlns="http://schemas.openxmlformats.org/spreadsheetml/2006/main" count="279" uniqueCount="43">
  <si>
    <t>customerID</t>
  </si>
  <si>
    <t>tenure</t>
  </si>
  <si>
    <t>Contract</t>
  </si>
  <si>
    <t>InternetService</t>
  </si>
  <si>
    <t>MonthlyCharges</t>
  </si>
  <si>
    <t>Churn</t>
  </si>
  <si>
    <t>7590-VHVEG</t>
  </si>
  <si>
    <t>Month-to-month</t>
  </si>
  <si>
    <t>DSL</t>
  </si>
  <si>
    <t>No</t>
  </si>
  <si>
    <t>5575-GNVDE</t>
  </si>
  <si>
    <t>One year</t>
  </si>
  <si>
    <t>3668-QPYBK</t>
  </si>
  <si>
    <t>Yes</t>
  </si>
  <si>
    <t>7795-CFOCW</t>
  </si>
  <si>
    <t>9237-HQPME</t>
  </si>
  <si>
    <t>Fiber optic</t>
  </si>
  <si>
    <t>9305-CDSKC</t>
  </si>
  <si>
    <t>1452-KJVVH</t>
  </si>
  <si>
    <t>6713-OKOMC</t>
  </si>
  <si>
    <t>7892-POOKP</t>
  </si>
  <si>
    <t>6388-TABGU</t>
  </si>
  <si>
    <t>9763-GRSKD</t>
  </si>
  <si>
    <t>7469-LKBCI</t>
  </si>
  <si>
    <t>Two year</t>
  </si>
  <si>
    <t>8091-TTWWE</t>
  </si>
  <si>
    <t>0280-XJGCK</t>
  </si>
  <si>
    <t>5129-JLPIS</t>
  </si>
  <si>
    <t>3655-SNBZZ</t>
  </si>
  <si>
    <t>8191-XWSL3</t>
  </si>
  <si>
    <t>9959-WOFFU</t>
  </si>
  <si>
    <t>4190-MFLUW</t>
  </si>
  <si>
    <t>4183-MYPFF</t>
  </si>
  <si>
    <t>No of customers having churn "No"</t>
  </si>
  <si>
    <t>No of customers having churn "Yes"</t>
  </si>
  <si>
    <t>Row Labels</t>
  </si>
  <si>
    <t>Grand Total</t>
  </si>
  <si>
    <t>Count of Churn</t>
  </si>
  <si>
    <t>Average Monthly Charges for churned customers "Yes"</t>
  </si>
  <si>
    <t>Average Monthly Charges for churned customers "No"</t>
  </si>
  <si>
    <t>Column Labels</t>
  </si>
  <si>
    <t>Count of customerID</t>
  </si>
  <si>
    <t>Correlation between tenure and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</si>
</sst>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2" fillId="2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2" fillId="4" borderId="1" xfId="1" applyFont="1" applyFill="1" applyBorder="1"/>
    <xf numFmtId="0" fontId="0" fillId="0" borderId="0" xfId="0" applyBorder="1"/>
    <xf numFmtId="0" fontId="2" fillId="0" borderId="0" xfId="0" applyFont="1" applyFill="1" applyBorder="1"/>
    <xf numFmtId="0" fontId="2" fillId="5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STUDY-2.xlsx]4!PivotTable2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'4'!$A$3:$A$5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'4'!$B$3:$B$5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8-4AB9-91FE-3A05972C4794}"/>
            </c:ext>
          </c:extLst>
        </c:ser>
        <c:ser>
          <c:idx val="1"/>
          <c:order val="1"/>
          <c:tx>
            <c:strRef>
              <c:f>'4'!$C$1:$C$2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'4'!$A$3:$A$5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'4'!$C$3:$C$5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8-4AB9-91FE-3A05972C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724463"/>
        <c:axId val="1345308751"/>
      </c:barChart>
      <c:catAx>
        <c:axId val="175072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08751"/>
        <c:crosses val="autoZero"/>
        <c:auto val="1"/>
        <c:lblAlgn val="ctr"/>
        <c:lblOffset val="100"/>
        <c:noMultiLvlLbl val="0"/>
      </c:catAx>
      <c:valAx>
        <c:axId val="134530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2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4</xdr:row>
      <xdr:rowOff>99060</xdr:rowOff>
    </xdr:from>
    <xdr:to>
      <xdr:col>13</xdr:col>
      <xdr:colOff>220980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06F51-2DFC-867A-D298-F11B8ACBE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11</xdr:row>
      <xdr:rowOff>175260</xdr:rowOff>
    </xdr:from>
    <xdr:to>
      <xdr:col>12</xdr:col>
      <xdr:colOff>228600</xdr:colOff>
      <xdr:row>16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77E59B-CE55-B6D6-BE62-D2662CD25490}"/>
            </a:ext>
          </a:extLst>
        </xdr:cNvPr>
        <xdr:cNvSpPr txBox="1"/>
      </xdr:nvSpPr>
      <xdr:spPr>
        <a:xfrm>
          <a:off x="1836420" y="2186940"/>
          <a:ext cx="7307580" cy="8153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i="1" u="sng"/>
            <a:t>INTERPRETATION</a:t>
          </a:r>
          <a:r>
            <a:rPr lang="en-US" b="1" i="1" u="none"/>
            <a:t> :</a:t>
          </a:r>
        </a:p>
        <a:p>
          <a:endParaRPr lang="en-US" b="1" i="1" u="sng"/>
        </a:p>
        <a:p>
          <a:r>
            <a:rPr lang="en-US"/>
            <a:t>The negative sign indicates an inverse relationship—as a customer's </a:t>
          </a:r>
          <a:r>
            <a:rPr lang="en-US" b="1"/>
            <a:t>tenure increases</a:t>
          </a:r>
          <a:r>
            <a:rPr lang="en-US"/>
            <a:t>, their likelihood of </a:t>
          </a:r>
          <a:r>
            <a:rPr lang="en-US" b="1"/>
            <a:t>churning decreases</a:t>
          </a:r>
          <a:r>
            <a:rPr lang="en-US"/>
            <a:t>. 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.b.polackal" refreshedDate="46256.818097569441" createdVersion="8" refreshedVersion="8" minRefreshableVersion="3" recordCount="20" xr:uid="{B758D55A-CFBC-479C-B96E-07BB9AB4DB4E}">
  <cacheSource type="worksheet">
    <worksheetSource ref="A1:F21" sheet="2"/>
  </cacheSource>
  <cacheFields count="6">
    <cacheField name="customerID" numFmtId="0">
      <sharedItems/>
    </cacheField>
    <cacheField name="tenure" numFmtId="0">
      <sharedItems containsSemiMixedTypes="0" containsString="0" containsNumber="1" containsInteger="1" minValue="1" maxValue="71"/>
    </cacheField>
    <cacheField name="Contract" numFmtId="0">
      <sharedItems count="3">
        <s v="Month-to-month"/>
        <s v="One year"/>
        <s v="Two year"/>
      </sharedItems>
    </cacheField>
    <cacheField name="InternetService" numFmtId="0">
      <sharedItems/>
    </cacheField>
    <cacheField name="MonthlyCharges" numFmtId="0">
      <sharedItems containsSemiMixedTypes="0" containsString="0" containsNumber="1" minValue="18.95" maxValue="116.25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.b.polackal" refreshedDate="46256.829192939818" createdVersion="8" refreshedVersion="8" minRefreshableVersion="3" recordCount="20" xr:uid="{D2449E3E-8F07-48CE-B671-A50CB545C151}">
  <cacheSource type="worksheet">
    <worksheetSource ref="A1:F21" sheet="3"/>
  </cacheSource>
  <cacheFields count="6">
    <cacheField name="customerID" numFmtId="0">
      <sharedItems/>
    </cacheField>
    <cacheField name="tenure" numFmtId="0">
      <sharedItems containsSemiMixedTypes="0" containsString="0" containsNumber="1" containsInteger="1" minValue="1" maxValue="71"/>
    </cacheField>
    <cacheField name="Contract" numFmtId="0">
      <sharedItems/>
    </cacheField>
    <cacheField name="InternetService" numFmtId="0">
      <sharedItems count="3">
        <s v="DSL"/>
        <s v="Fiber optic"/>
        <s v="No"/>
      </sharedItems>
    </cacheField>
    <cacheField name="MonthlyCharges" numFmtId="44">
      <sharedItems containsSemiMixedTypes="0" containsString="0" containsNumber="1" minValue="18.95" maxValue="116.25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7590-VHVEG"/>
    <n v="1"/>
    <x v="0"/>
    <s v="DSL"/>
    <n v="29.85"/>
    <x v="0"/>
  </r>
  <r>
    <s v="5575-GNVDE"/>
    <n v="34"/>
    <x v="1"/>
    <s v="DSL"/>
    <n v="56.95"/>
    <x v="0"/>
  </r>
  <r>
    <s v="3668-QPYBK"/>
    <n v="2"/>
    <x v="0"/>
    <s v="DSL"/>
    <n v="53.85"/>
    <x v="1"/>
  </r>
  <r>
    <s v="7795-CFOCW"/>
    <n v="45"/>
    <x v="1"/>
    <s v="DSL"/>
    <n v="42.3"/>
    <x v="0"/>
  </r>
  <r>
    <s v="9237-HQPME"/>
    <n v="2"/>
    <x v="0"/>
    <s v="Fiber optic"/>
    <n v="70.7"/>
    <x v="1"/>
  </r>
  <r>
    <s v="9305-CDSKC"/>
    <n v="8"/>
    <x v="0"/>
    <s v="Fiber optic"/>
    <n v="99.65"/>
    <x v="1"/>
  </r>
  <r>
    <s v="1452-KJVVH"/>
    <n v="22"/>
    <x v="0"/>
    <s v="Fiber optic"/>
    <n v="89.1"/>
    <x v="0"/>
  </r>
  <r>
    <s v="6713-OKOMC"/>
    <n v="10"/>
    <x v="0"/>
    <s v="DSL"/>
    <n v="29.75"/>
    <x v="0"/>
  </r>
  <r>
    <s v="7892-POOKP"/>
    <n v="28"/>
    <x v="0"/>
    <s v="Fiber optic"/>
    <n v="104.8"/>
    <x v="1"/>
  </r>
  <r>
    <s v="6388-TABGU"/>
    <n v="62"/>
    <x v="1"/>
    <s v="DSL"/>
    <n v="56.15"/>
    <x v="0"/>
  </r>
  <r>
    <s v="9763-GRSKD"/>
    <n v="13"/>
    <x v="0"/>
    <s v="DSL"/>
    <n v="49.95"/>
    <x v="0"/>
  </r>
  <r>
    <s v="7469-LKBCI"/>
    <n v="16"/>
    <x v="2"/>
    <s v="No"/>
    <n v="18.95"/>
    <x v="0"/>
  </r>
  <r>
    <s v="8091-TTWWE"/>
    <n v="58"/>
    <x v="1"/>
    <s v="Fiber optic"/>
    <n v="100.35"/>
    <x v="0"/>
  </r>
  <r>
    <s v="0280-XJGCK"/>
    <n v="49"/>
    <x v="0"/>
    <s v="Fiber optic"/>
    <n v="103.7"/>
    <x v="1"/>
  </r>
  <r>
    <s v="5129-JLPIS"/>
    <n v="25"/>
    <x v="0"/>
    <s v="Fiber optic"/>
    <n v="105.5"/>
    <x v="0"/>
  </r>
  <r>
    <s v="3655-SNBZZ"/>
    <n v="69"/>
    <x v="2"/>
    <s v="Fiber optic"/>
    <n v="113.25"/>
    <x v="0"/>
  </r>
  <r>
    <s v="8191-XWSL3"/>
    <n v="52"/>
    <x v="1"/>
    <s v="No"/>
    <n v="20.65"/>
    <x v="0"/>
  </r>
  <r>
    <s v="9959-WOFFU"/>
    <n v="71"/>
    <x v="2"/>
    <s v="Fiber optic"/>
    <n v="116.25"/>
    <x v="0"/>
  </r>
  <r>
    <s v="4190-MFLUW"/>
    <n v="10"/>
    <x v="0"/>
    <s v="DSL"/>
    <n v="55.2"/>
    <x v="1"/>
  </r>
  <r>
    <s v="4183-MYPFF"/>
    <n v="21"/>
    <x v="0"/>
    <s v="Fiber optic"/>
    <n v="96.0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7590-VHVEG"/>
    <n v="1"/>
    <s v="Month-to-month"/>
    <x v="0"/>
    <n v="29.85"/>
    <x v="0"/>
  </r>
  <r>
    <s v="5575-GNVDE"/>
    <n v="34"/>
    <s v="One year"/>
    <x v="0"/>
    <n v="56.95"/>
    <x v="0"/>
  </r>
  <r>
    <s v="3668-QPYBK"/>
    <n v="2"/>
    <s v="Month-to-month"/>
    <x v="0"/>
    <n v="53.85"/>
    <x v="1"/>
  </r>
  <r>
    <s v="7795-CFOCW"/>
    <n v="45"/>
    <s v="One year"/>
    <x v="0"/>
    <n v="42.3"/>
    <x v="0"/>
  </r>
  <r>
    <s v="9237-HQPME"/>
    <n v="2"/>
    <s v="Month-to-month"/>
    <x v="1"/>
    <n v="70.7"/>
    <x v="1"/>
  </r>
  <r>
    <s v="9305-CDSKC"/>
    <n v="8"/>
    <s v="Month-to-month"/>
    <x v="1"/>
    <n v="99.65"/>
    <x v="1"/>
  </r>
  <r>
    <s v="1452-KJVVH"/>
    <n v="22"/>
    <s v="Month-to-month"/>
    <x v="1"/>
    <n v="89.1"/>
    <x v="0"/>
  </r>
  <r>
    <s v="6713-OKOMC"/>
    <n v="10"/>
    <s v="Month-to-month"/>
    <x v="0"/>
    <n v="29.75"/>
    <x v="0"/>
  </r>
  <r>
    <s v="7892-POOKP"/>
    <n v="28"/>
    <s v="Month-to-month"/>
    <x v="1"/>
    <n v="104.8"/>
    <x v="1"/>
  </r>
  <r>
    <s v="6388-TABGU"/>
    <n v="62"/>
    <s v="One year"/>
    <x v="0"/>
    <n v="56.15"/>
    <x v="0"/>
  </r>
  <r>
    <s v="9763-GRSKD"/>
    <n v="13"/>
    <s v="Month-to-month"/>
    <x v="0"/>
    <n v="49.95"/>
    <x v="0"/>
  </r>
  <r>
    <s v="7469-LKBCI"/>
    <n v="16"/>
    <s v="Two year"/>
    <x v="2"/>
    <n v="18.95"/>
    <x v="0"/>
  </r>
  <r>
    <s v="8091-TTWWE"/>
    <n v="58"/>
    <s v="One year"/>
    <x v="1"/>
    <n v="100.35"/>
    <x v="0"/>
  </r>
  <r>
    <s v="0280-XJGCK"/>
    <n v="49"/>
    <s v="Month-to-month"/>
    <x v="1"/>
    <n v="103.7"/>
    <x v="1"/>
  </r>
  <r>
    <s v="5129-JLPIS"/>
    <n v="25"/>
    <s v="Month-to-month"/>
    <x v="1"/>
    <n v="105.5"/>
    <x v="0"/>
  </r>
  <r>
    <s v="3655-SNBZZ"/>
    <n v="69"/>
    <s v="Two year"/>
    <x v="1"/>
    <n v="113.25"/>
    <x v="0"/>
  </r>
  <r>
    <s v="8191-XWSL3"/>
    <n v="52"/>
    <s v="One year"/>
    <x v="2"/>
    <n v="20.65"/>
    <x v="0"/>
  </r>
  <r>
    <s v="9959-WOFFU"/>
    <n v="71"/>
    <s v="Two year"/>
    <x v="1"/>
    <n v="116.25"/>
    <x v="0"/>
  </r>
  <r>
    <s v="4190-MFLUW"/>
    <n v="10"/>
    <s v="Month-to-month"/>
    <x v="0"/>
    <n v="55.2"/>
    <x v="1"/>
  </r>
  <r>
    <s v="4183-MYPFF"/>
    <n v="21"/>
    <s v="Month-to-month"/>
    <x v="1"/>
    <n v="96.0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A60B6-335A-4034-9F5A-6DD76CD60C0C}" name="PivotTable1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3:B2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AAD49-FD32-4143-8B8C-796E866D5562}" name="PivotTable2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1:C5" firstHeaderRow="1" firstDataRow="2" firstDataCol="1"/>
  <pivotFields count="6"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44"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>
      <x v="2"/>
    </i>
  </rowItems>
  <colFields count="1">
    <field x="5"/>
  </colFields>
  <colItems count="2">
    <i>
      <x/>
    </i>
    <i>
      <x v="1"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7FFF-598C-4670-A274-61F288D7E7A7}">
  <dimension ref="A1:J25"/>
  <sheetViews>
    <sheetView tabSelected="1" workbookViewId="0">
      <selection activeCell="H22" sqref="H22"/>
    </sheetView>
  </sheetViews>
  <sheetFormatPr defaultRowHeight="14.4" x14ac:dyDescent="0.3"/>
  <cols>
    <col min="1" max="1" width="14.88671875" customWidth="1"/>
    <col min="2" max="2" width="12.5546875" customWidth="1"/>
    <col min="3" max="3" width="14.109375" bestFit="1" customWidth="1"/>
    <col min="4" max="4" width="19.5546875" customWidth="1"/>
    <col min="5" max="5" width="29.33203125" bestFit="1" customWidth="1"/>
    <col min="6" max="6" width="11.6640625" customWidth="1"/>
    <col min="9" max="9" width="30.332031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</row>
    <row r="2" spans="1:10" x14ac:dyDescent="0.3">
      <c r="A2" s="2" t="s">
        <v>6</v>
      </c>
      <c r="B2" s="2">
        <v>1</v>
      </c>
      <c r="C2" s="2" t="s">
        <v>7</v>
      </c>
      <c r="D2" s="2" t="s">
        <v>8</v>
      </c>
      <c r="E2" s="10">
        <v>29.85</v>
      </c>
      <c r="F2" s="2" t="s">
        <v>9</v>
      </c>
    </row>
    <row r="3" spans="1:10" x14ac:dyDescent="0.3">
      <c r="A3" s="2" t="s">
        <v>10</v>
      </c>
      <c r="B3" s="2">
        <v>34</v>
      </c>
      <c r="C3" s="2" t="s">
        <v>11</v>
      </c>
      <c r="D3" s="2" t="s">
        <v>8</v>
      </c>
      <c r="E3" s="10">
        <v>56.95</v>
      </c>
      <c r="F3" s="2" t="s">
        <v>9</v>
      </c>
    </row>
    <row r="4" spans="1:10" x14ac:dyDescent="0.3">
      <c r="A4" s="2" t="s">
        <v>12</v>
      </c>
      <c r="B4" s="2">
        <v>2</v>
      </c>
      <c r="C4" s="2" t="s">
        <v>7</v>
      </c>
      <c r="D4" s="2" t="s">
        <v>8</v>
      </c>
      <c r="E4" s="10">
        <v>53.85</v>
      </c>
      <c r="F4" s="2" t="s">
        <v>13</v>
      </c>
    </row>
    <row r="5" spans="1:10" x14ac:dyDescent="0.3">
      <c r="A5" s="2" t="s">
        <v>14</v>
      </c>
      <c r="B5" s="2">
        <v>45</v>
      </c>
      <c r="C5" s="2" t="s">
        <v>11</v>
      </c>
      <c r="D5" s="2" t="s">
        <v>8</v>
      </c>
      <c r="E5" s="10">
        <v>42.3</v>
      </c>
      <c r="F5" s="2" t="s">
        <v>9</v>
      </c>
      <c r="I5" s="4" t="s">
        <v>34</v>
      </c>
      <c r="J5" s="5">
        <f>COUNTIF($F$2:$F$21,"Yes")</f>
        <v>7</v>
      </c>
    </row>
    <row r="6" spans="1:10" x14ac:dyDescent="0.3">
      <c r="A6" s="2" t="s">
        <v>15</v>
      </c>
      <c r="B6" s="2">
        <v>2</v>
      </c>
      <c r="C6" s="2" t="s">
        <v>7</v>
      </c>
      <c r="D6" s="2" t="s">
        <v>16</v>
      </c>
      <c r="E6" s="10">
        <v>70.7</v>
      </c>
      <c r="F6" s="2" t="s">
        <v>13</v>
      </c>
      <c r="I6" s="4" t="s">
        <v>33</v>
      </c>
      <c r="J6" s="5">
        <f>COUNTIF($F$2:$F$22,"No")</f>
        <v>13</v>
      </c>
    </row>
    <row r="7" spans="1:10" x14ac:dyDescent="0.3">
      <c r="A7" s="2" t="s">
        <v>17</v>
      </c>
      <c r="B7" s="2">
        <v>8</v>
      </c>
      <c r="C7" s="2" t="s">
        <v>7</v>
      </c>
      <c r="D7" s="2" t="s">
        <v>16</v>
      </c>
      <c r="E7" s="10">
        <v>99.65</v>
      </c>
      <c r="F7" s="2" t="s">
        <v>13</v>
      </c>
    </row>
    <row r="8" spans="1:10" x14ac:dyDescent="0.3">
      <c r="A8" s="2" t="s">
        <v>18</v>
      </c>
      <c r="B8" s="2">
        <v>22</v>
      </c>
      <c r="C8" s="2" t="s">
        <v>7</v>
      </c>
      <c r="D8" s="2" t="s">
        <v>16</v>
      </c>
      <c r="E8" s="10">
        <v>89.1</v>
      </c>
      <c r="F8" s="2" t="s">
        <v>9</v>
      </c>
    </row>
    <row r="9" spans="1:10" x14ac:dyDescent="0.3">
      <c r="A9" s="2" t="s">
        <v>19</v>
      </c>
      <c r="B9" s="2">
        <v>10</v>
      </c>
      <c r="C9" s="2" t="s">
        <v>7</v>
      </c>
      <c r="D9" s="2" t="s">
        <v>8</v>
      </c>
      <c r="E9" s="10">
        <v>29.75</v>
      </c>
      <c r="F9" s="2" t="s">
        <v>9</v>
      </c>
    </row>
    <row r="10" spans="1:10" x14ac:dyDescent="0.3">
      <c r="A10" s="2" t="s">
        <v>20</v>
      </c>
      <c r="B10" s="2">
        <v>28</v>
      </c>
      <c r="C10" s="2" t="s">
        <v>7</v>
      </c>
      <c r="D10" s="2" t="s">
        <v>16</v>
      </c>
      <c r="E10" s="10">
        <v>104.8</v>
      </c>
      <c r="F10" s="2" t="s">
        <v>13</v>
      </c>
    </row>
    <row r="11" spans="1:10" x14ac:dyDescent="0.3">
      <c r="A11" s="2" t="s">
        <v>21</v>
      </c>
      <c r="B11" s="2">
        <v>62</v>
      </c>
      <c r="C11" s="2" t="s">
        <v>11</v>
      </c>
      <c r="D11" s="2" t="s">
        <v>8</v>
      </c>
      <c r="E11" s="10">
        <v>56.15</v>
      </c>
      <c r="F11" s="2" t="s">
        <v>9</v>
      </c>
    </row>
    <row r="12" spans="1:10" x14ac:dyDescent="0.3">
      <c r="A12" s="2" t="s">
        <v>22</v>
      </c>
      <c r="B12" s="2">
        <v>13</v>
      </c>
      <c r="C12" s="2" t="s">
        <v>7</v>
      </c>
      <c r="D12" s="2" t="s">
        <v>8</v>
      </c>
      <c r="E12" s="10">
        <v>49.95</v>
      </c>
      <c r="F12" s="2" t="s">
        <v>9</v>
      </c>
    </row>
    <row r="13" spans="1:10" x14ac:dyDescent="0.3">
      <c r="A13" s="2" t="s">
        <v>23</v>
      </c>
      <c r="B13" s="2">
        <v>16</v>
      </c>
      <c r="C13" s="2" t="s">
        <v>24</v>
      </c>
      <c r="D13" s="2" t="s">
        <v>9</v>
      </c>
      <c r="E13" s="10">
        <v>18.95</v>
      </c>
      <c r="F13" s="2" t="s">
        <v>9</v>
      </c>
    </row>
    <row r="14" spans="1:10" x14ac:dyDescent="0.3">
      <c r="A14" s="2" t="s">
        <v>25</v>
      </c>
      <c r="B14" s="2">
        <v>58</v>
      </c>
      <c r="C14" s="2" t="s">
        <v>11</v>
      </c>
      <c r="D14" s="2" t="s">
        <v>16</v>
      </c>
      <c r="E14" s="10">
        <v>100.35</v>
      </c>
      <c r="F14" s="2" t="s">
        <v>9</v>
      </c>
    </row>
    <row r="15" spans="1:10" x14ac:dyDescent="0.3">
      <c r="A15" s="2" t="s">
        <v>26</v>
      </c>
      <c r="B15" s="2">
        <v>49</v>
      </c>
      <c r="C15" s="2" t="s">
        <v>7</v>
      </c>
      <c r="D15" s="2" t="s">
        <v>16</v>
      </c>
      <c r="E15" s="10">
        <v>103.7</v>
      </c>
      <c r="F15" s="2" t="s">
        <v>13</v>
      </c>
    </row>
    <row r="16" spans="1:10" x14ac:dyDescent="0.3">
      <c r="A16" s="2" t="s">
        <v>27</v>
      </c>
      <c r="B16" s="2">
        <v>25</v>
      </c>
      <c r="C16" s="2" t="s">
        <v>7</v>
      </c>
      <c r="D16" s="2" t="s">
        <v>16</v>
      </c>
      <c r="E16" s="10">
        <v>105.5</v>
      </c>
      <c r="F16" s="2" t="s">
        <v>9</v>
      </c>
    </row>
    <row r="17" spans="1:7" x14ac:dyDescent="0.3">
      <c r="A17" s="2" t="s">
        <v>28</v>
      </c>
      <c r="B17" s="2">
        <v>69</v>
      </c>
      <c r="C17" s="2" t="s">
        <v>24</v>
      </c>
      <c r="D17" s="2" t="s">
        <v>16</v>
      </c>
      <c r="E17" s="10">
        <v>113.25</v>
      </c>
      <c r="F17" s="2" t="s">
        <v>9</v>
      </c>
    </row>
    <row r="18" spans="1:7" x14ac:dyDescent="0.3">
      <c r="A18" s="2" t="s">
        <v>29</v>
      </c>
      <c r="B18" s="2">
        <v>52</v>
      </c>
      <c r="C18" s="2" t="s">
        <v>11</v>
      </c>
      <c r="D18" s="2" t="s">
        <v>9</v>
      </c>
      <c r="E18" s="10">
        <v>20.65</v>
      </c>
      <c r="F18" s="2" t="s">
        <v>9</v>
      </c>
    </row>
    <row r="19" spans="1:7" x14ac:dyDescent="0.3">
      <c r="A19" s="2" t="s">
        <v>30</v>
      </c>
      <c r="B19" s="2">
        <v>71</v>
      </c>
      <c r="C19" s="2" t="s">
        <v>24</v>
      </c>
      <c r="D19" s="2" t="s">
        <v>16</v>
      </c>
      <c r="E19" s="10">
        <v>116.25</v>
      </c>
      <c r="F19" s="2" t="s">
        <v>9</v>
      </c>
    </row>
    <row r="20" spans="1:7" x14ac:dyDescent="0.3">
      <c r="A20" s="2" t="s">
        <v>31</v>
      </c>
      <c r="B20" s="2">
        <v>10</v>
      </c>
      <c r="C20" s="2" t="s">
        <v>7</v>
      </c>
      <c r="D20" s="2" t="s">
        <v>8</v>
      </c>
      <c r="E20" s="10">
        <v>55.2</v>
      </c>
      <c r="F20" s="2" t="s">
        <v>13</v>
      </c>
    </row>
    <row r="21" spans="1:7" x14ac:dyDescent="0.3">
      <c r="A21" s="2" t="s">
        <v>32</v>
      </c>
      <c r="B21" s="2">
        <v>21</v>
      </c>
      <c r="C21" s="2" t="s">
        <v>7</v>
      </c>
      <c r="D21" s="2" t="s">
        <v>16</v>
      </c>
      <c r="E21" s="10">
        <v>96.05</v>
      </c>
      <c r="F21" s="2" t="s">
        <v>13</v>
      </c>
    </row>
    <row r="23" spans="1:7" x14ac:dyDescent="0.3">
      <c r="E23" s="12"/>
      <c r="F23" s="12"/>
    </row>
    <row r="24" spans="1:7" x14ac:dyDescent="0.3">
      <c r="D24" s="12"/>
      <c r="E24" s="13"/>
      <c r="F24" s="13"/>
      <c r="G24" s="12"/>
    </row>
    <row r="25" spans="1:7" x14ac:dyDescent="0.3">
      <c r="E25" s="13"/>
      <c r="F25" s="13"/>
      <c r="G25" s="12"/>
    </row>
  </sheetData>
  <autoFilter ref="A1:F21" xr:uid="{32697FFF-598C-4670-A274-61F288D7E7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4051-5FE0-4396-8155-884A0A6CCD8B}">
  <dimension ref="A1:F27"/>
  <sheetViews>
    <sheetView topLeftCell="A7" workbookViewId="0">
      <selection activeCell="E31" sqref="E31"/>
    </sheetView>
  </sheetViews>
  <sheetFormatPr defaultRowHeight="14.4" x14ac:dyDescent="0.3"/>
  <cols>
    <col min="1" max="1" width="14.109375" bestFit="1" customWidth="1"/>
    <col min="2" max="2" width="13.109375" bestFit="1" customWidth="1"/>
    <col min="3" max="3" width="14.109375" bestFit="1" customWidth="1"/>
    <col min="4" max="4" width="13.88671875" bestFit="1" customWidth="1"/>
    <col min="5" max="5" width="14.33203125" bestFit="1" customWidth="1"/>
    <col min="6" max="6" width="5.8867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</row>
    <row r="2" spans="1:6" x14ac:dyDescent="0.3">
      <c r="A2" s="2" t="s">
        <v>6</v>
      </c>
      <c r="B2" s="2">
        <v>1</v>
      </c>
      <c r="C2" s="2" t="s">
        <v>7</v>
      </c>
      <c r="D2" s="2" t="s">
        <v>8</v>
      </c>
      <c r="E2" s="10">
        <v>29.85</v>
      </c>
      <c r="F2" s="2" t="s">
        <v>9</v>
      </c>
    </row>
    <row r="3" spans="1:6" x14ac:dyDescent="0.3">
      <c r="A3" s="2" t="s">
        <v>10</v>
      </c>
      <c r="B3" s="2">
        <v>34</v>
      </c>
      <c r="C3" s="2" t="s">
        <v>11</v>
      </c>
      <c r="D3" s="2" t="s">
        <v>8</v>
      </c>
      <c r="E3" s="10">
        <v>56.95</v>
      </c>
      <c r="F3" s="2" t="s">
        <v>9</v>
      </c>
    </row>
    <row r="4" spans="1:6" x14ac:dyDescent="0.3">
      <c r="A4" s="2" t="s">
        <v>12</v>
      </c>
      <c r="B4" s="2">
        <v>2</v>
      </c>
      <c r="C4" s="2" t="s">
        <v>7</v>
      </c>
      <c r="D4" s="2" t="s">
        <v>8</v>
      </c>
      <c r="E4" s="10">
        <v>53.85</v>
      </c>
      <c r="F4" s="2" t="s">
        <v>13</v>
      </c>
    </row>
    <row r="5" spans="1:6" x14ac:dyDescent="0.3">
      <c r="A5" s="2" t="s">
        <v>14</v>
      </c>
      <c r="B5" s="2">
        <v>45</v>
      </c>
      <c r="C5" s="2" t="s">
        <v>11</v>
      </c>
      <c r="D5" s="2" t="s">
        <v>8</v>
      </c>
      <c r="E5" s="10">
        <v>42.3</v>
      </c>
      <c r="F5" s="2" t="s">
        <v>9</v>
      </c>
    </row>
    <row r="6" spans="1:6" x14ac:dyDescent="0.3">
      <c r="A6" s="2" t="s">
        <v>15</v>
      </c>
      <c r="B6" s="2">
        <v>2</v>
      </c>
      <c r="C6" s="2" t="s">
        <v>7</v>
      </c>
      <c r="D6" s="2" t="s">
        <v>16</v>
      </c>
      <c r="E6" s="10">
        <v>70.7</v>
      </c>
      <c r="F6" s="2" t="s">
        <v>13</v>
      </c>
    </row>
    <row r="7" spans="1:6" x14ac:dyDescent="0.3">
      <c r="A7" s="2" t="s">
        <v>17</v>
      </c>
      <c r="B7" s="2">
        <v>8</v>
      </c>
      <c r="C7" s="2" t="s">
        <v>7</v>
      </c>
      <c r="D7" s="2" t="s">
        <v>16</v>
      </c>
      <c r="E7" s="10">
        <v>99.65</v>
      </c>
      <c r="F7" s="2" t="s">
        <v>13</v>
      </c>
    </row>
    <row r="8" spans="1:6" x14ac:dyDescent="0.3">
      <c r="A8" s="2" t="s">
        <v>18</v>
      </c>
      <c r="B8" s="2">
        <v>22</v>
      </c>
      <c r="C8" s="2" t="s">
        <v>7</v>
      </c>
      <c r="D8" s="2" t="s">
        <v>16</v>
      </c>
      <c r="E8" s="10">
        <v>89.1</v>
      </c>
      <c r="F8" s="2" t="s">
        <v>9</v>
      </c>
    </row>
    <row r="9" spans="1:6" x14ac:dyDescent="0.3">
      <c r="A9" s="2" t="s">
        <v>19</v>
      </c>
      <c r="B9" s="2">
        <v>10</v>
      </c>
      <c r="C9" s="2" t="s">
        <v>7</v>
      </c>
      <c r="D9" s="2" t="s">
        <v>8</v>
      </c>
      <c r="E9" s="10">
        <v>29.75</v>
      </c>
      <c r="F9" s="2" t="s">
        <v>9</v>
      </c>
    </row>
    <row r="10" spans="1:6" x14ac:dyDescent="0.3">
      <c r="A10" s="2" t="s">
        <v>20</v>
      </c>
      <c r="B10" s="2">
        <v>28</v>
      </c>
      <c r="C10" s="2" t="s">
        <v>7</v>
      </c>
      <c r="D10" s="2" t="s">
        <v>16</v>
      </c>
      <c r="E10" s="10">
        <v>104.8</v>
      </c>
      <c r="F10" s="2" t="s">
        <v>13</v>
      </c>
    </row>
    <row r="11" spans="1:6" x14ac:dyDescent="0.3">
      <c r="A11" s="2" t="s">
        <v>21</v>
      </c>
      <c r="B11" s="2">
        <v>62</v>
      </c>
      <c r="C11" s="2" t="s">
        <v>11</v>
      </c>
      <c r="D11" s="2" t="s">
        <v>8</v>
      </c>
      <c r="E11" s="10">
        <v>56.15</v>
      </c>
      <c r="F11" s="2" t="s">
        <v>9</v>
      </c>
    </row>
    <row r="12" spans="1:6" x14ac:dyDescent="0.3">
      <c r="A12" s="2" t="s">
        <v>22</v>
      </c>
      <c r="B12" s="2">
        <v>13</v>
      </c>
      <c r="C12" s="2" t="s">
        <v>7</v>
      </c>
      <c r="D12" s="2" t="s">
        <v>8</v>
      </c>
      <c r="E12" s="10">
        <v>49.95</v>
      </c>
      <c r="F12" s="2" t="s">
        <v>9</v>
      </c>
    </row>
    <row r="13" spans="1:6" x14ac:dyDescent="0.3">
      <c r="A13" s="2" t="s">
        <v>23</v>
      </c>
      <c r="B13" s="2">
        <v>16</v>
      </c>
      <c r="C13" s="2" t="s">
        <v>24</v>
      </c>
      <c r="D13" s="2" t="s">
        <v>9</v>
      </c>
      <c r="E13" s="10">
        <v>18.95</v>
      </c>
      <c r="F13" s="2" t="s">
        <v>9</v>
      </c>
    </row>
    <row r="14" spans="1:6" x14ac:dyDescent="0.3">
      <c r="A14" s="2" t="s">
        <v>25</v>
      </c>
      <c r="B14" s="2">
        <v>58</v>
      </c>
      <c r="C14" s="2" t="s">
        <v>11</v>
      </c>
      <c r="D14" s="2" t="s">
        <v>16</v>
      </c>
      <c r="E14" s="10">
        <v>100.35</v>
      </c>
      <c r="F14" s="2" t="s">
        <v>9</v>
      </c>
    </row>
    <row r="15" spans="1:6" x14ac:dyDescent="0.3">
      <c r="A15" s="2" t="s">
        <v>26</v>
      </c>
      <c r="B15" s="2">
        <v>49</v>
      </c>
      <c r="C15" s="2" t="s">
        <v>7</v>
      </c>
      <c r="D15" s="2" t="s">
        <v>16</v>
      </c>
      <c r="E15" s="10">
        <v>103.7</v>
      </c>
      <c r="F15" s="2" t="s">
        <v>13</v>
      </c>
    </row>
    <row r="16" spans="1:6" x14ac:dyDescent="0.3">
      <c r="A16" s="2" t="s">
        <v>27</v>
      </c>
      <c r="B16" s="2">
        <v>25</v>
      </c>
      <c r="C16" s="2" t="s">
        <v>7</v>
      </c>
      <c r="D16" s="2" t="s">
        <v>16</v>
      </c>
      <c r="E16" s="10">
        <v>105.5</v>
      </c>
      <c r="F16" s="2" t="s">
        <v>9</v>
      </c>
    </row>
    <row r="17" spans="1:6" x14ac:dyDescent="0.3">
      <c r="A17" s="2" t="s">
        <v>28</v>
      </c>
      <c r="B17" s="2">
        <v>69</v>
      </c>
      <c r="C17" s="2" t="s">
        <v>24</v>
      </c>
      <c r="D17" s="2" t="s">
        <v>16</v>
      </c>
      <c r="E17" s="10">
        <v>113.25</v>
      </c>
      <c r="F17" s="2" t="s">
        <v>9</v>
      </c>
    </row>
    <row r="18" spans="1:6" x14ac:dyDescent="0.3">
      <c r="A18" s="2" t="s">
        <v>29</v>
      </c>
      <c r="B18" s="2">
        <v>52</v>
      </c>
      <c r="C18" s="2" t="s">
        <v>11</v>
      </c>
      <c r="D18" s="2" t="s">
        <v>9</v>
      </c>
      <c r="E18" s="10">
        <v>20.65</v>
      </c>
      <c r="F18" s="2" t="s">
        <v>9</v>
      </c>
    </row>
    <row r="19" spans="1:6" x14ac:dyDescent="0.3">
      <c r="A19" s="2" t="s">
        <v>30</v>
      </c>
      <c r="B19" s="2">
        <v>71</v>
      </c>
      <c r="C19" s="2" t="s">
        <v>24</v>
      </c>
      <c r="D19" s="2" t="s">
        <v>16</v>
      </c>
      <c r="E19" s="10">
        <v>116.25</v>
      </c>
      <c r="F19" s="2" t="s">
        <v>9</v>
      </c>
    </row>
    <row r="20" spans="1:6" x14ac:dyDescent="0.3">
      <c r="A20" s="2" t="s">
        <v>31</v>
      </c>
      <c r="B20" s="2">
        <v>10</v>
      </c>
      <c r="C20" s="2" t="s">
        <v>7</v>
      </c>
      <c r="D20" s="2" t="s">
        <v>8</v>
      </c>
      <c r="E20" s="10">
        <v>55.2</v>
      </c>
      <c r="F20" s="2" t="s">
        <v>13</v>
      </c>
    </row>
    <row r="21" spans="1:6" x14ac:dyDescent="0.3">
      <c r="A21" s="2" t="s">
        <v>32</v>
      </c>
      <c r="B21" s="2">
        <v>21</v>
      </c>
      <c r="C21" s="2" t="s">
        <v>7</v>
      </c>
      <c r="D21" s="2" t="s">
        <v>16</v>
      </c>
      <c r="E21" s="10">
        <v>96.05</v>
      </c>
      <c r="F21" s="2" t="s">
        <v>13</v>
      </c>
    </row>
    <row r="23" spans="1:6" x14ac:dyDescent="0.3">
      <c r="A23" s="6" t="s">
        <v>35</v>
      </c>
      <c r="B23" t="s">
        <v>37</v>
      </c>
    </row>
    <row r="24" spans="1:6" x14ac:dyDescent="0.3">
      <c r="A24" s="7" t="s">
        <v>7</v>
      </c>
      <c r="B24" s="8">
        <v>12</v>
      </c>
    </row>
    <row r="25" spans="1:6" x14ac:dyDescent="0.3">
      <c r="A25" s="7" t="s">
        <v>11</v>
      </c>
      <c r="B25" s="8">
        <v>5</v>
      </c>
    </row>
    <row r="26" spans="1:6" x14ac:dyDescent="0.3">
      <c r="A26" s="7" t="s">
        <v>24</v>
      </c>
      <c r="B26" s="8">
        <v>3</v>
      </c>
    </row>
    <row r="27" spans="1:6" x14ac:dyDescent="0.3">
      <c r="A27" s="7" t="s">
        <v>36</v>
      </c>
      <c r="B27" s="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4E5C-EBDA-4BCF-B1EE-408C0D648412}">
  <dimension ref="A1:J21"/>
  <sheetViews>
    <sheetView workbookViewId="0">
      <selection activeCell="F1" sqref="F1"/>
    </sheetView>
  </sheetViews>
  <sheetFormatPr defaultRowHeight="14.4" x14ac:dyDescent="0.3"/>
  <cols>
    <col min="1" max="1" width="12.109375" bestFit="1" customWidth="1"/>
    <col min="2" max="2" width="6.33203125" bestFit="1" customWidth="1"/>
    <col min="3" max="3" width="14.109375" bestFit="1" customWidth="1"/>
    <col min="4" max="4" width="13.88671875" bestFit="1" customWidth="1"/>
    <col min="5" max="5" width="15.6640625" bestFit="1" customWidth="1"/>
    <col min="6" max="6" width="5.88671875" bestFit="1" customWidth="1"/>
    <col min="9" max="9" width="44.8867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</row>
    <row r="2" spans="1:10" x14ac:dyDescent="0.3">
      <c r="A2" s="2" t="s">
        <v>6</v>
      </c>
      <c r="B2" s="2">
        <v>1</v>
      </c>
      <c r="C2" s="2" t="s">
        <v>7</v>
      </c>
      <c r="D2" s="2" t="s">
        <v>8</v>
      </c>
      <c r="E2" s="10">
        <v>29.85</v>
      </c>
      <c r="F2" s="2" t="s">
        <v>9</v>
      </c>
      <c r="I2" s="4" t="s">
        <v>38</v>
      </c>
      <c r="J2" s="11">
        <f>AVERAGEIF($F$2:$F$21,"Yes",$E$2:$E$21)</f>
        <v>83.421428571428564</v>
      </c>
    </row>
    <row r="3" spans="1:10" x14ac:dyDescent="0.3">
      <c r="A3" s="2" t="s">
        <v>10</v>
      </c>
      <c r="B3" s="2">
        <v>34</v>
      </c>
      <c r="C3" s="2" t="s">
        <v>11</v>
      </c>
      <c r="D3" s="2" t="s">
        <v>8</v>
      </c>
      <c r="E3" s="10">
        <v>56.95</v>
      </c>
      <c r="F3" s="2" t="s">
        <v>9</v>
      </c>
      <c r="I3" s="4" t="s">
        <v>39</v>
      </c>
      <c r="J3" s="11">
        <f>AVERAGEIF($F$2:$F$21,"No",$E$2:$E$21)</f>
        <v>63.769230769230766</v>
      </c>
    </row>
    <row r="4" spans="1:10" x14ac:dyDescent="0.3">
      <c r="A4" s="2" t="s">
        <v>12</v>
      </c>
      <c r="B4" s="2">
        <v>2</v>
      </c>
      <c r="C4" s="2" t="s">
        <v>7</v>
      </c>
      <c r="D4" s="2" t="s">
        <v>8</v>
      </c>
      <c r="E4" s="10">
        <v>53.85</v>
      </c>
      <c r="F4" s="2" t="s">
        <v>13</v>
      </c>
    </row>
    <row r="5" spans="1:10" x14ac:dyDescent="0.3">
      <c r="A5" s="2" t="s">
        <v>14</v>
      </c>
      <c r="B5" s="2">
        <v>45</v>
      </c>
      <c r="C5" s="2" t="s">
        <v>11</v>
      </c>
      <c r="D5" s="2" t="s">
        <v>8</v>
      </c>
      <c r="E5" s="10">
        <v>42.3</v>
      </c>
      <c r="F5" s="2" t="s">
        <v>9</v>
      </c>
    </row>
    <row r="6" spans="1:10" x14ac:dyDescent="0.3">
      <c r="A6" s="2" t="s">
        <v>15</v>
      </c>
      <c r="B6" s="2">
        <v>2</v>
      </c>
      <c r="C6" s="2" t="s">
        <v>7</v>
      </c>
      <c r="D6" s="2" t="s">
        <v>16</v>
      </c>
      <c r="E6" s="10">
        <v>70.7</v>
      </c>
      <c r="F6" s="2" t="s">
        <v>13</v>
      </c>
    </row>
    <row r="7" spans="1:10" x14ac:dyDescent="0.3">
      <c r="A7" s="2" t="s">
        <v>17</v>
      </c>
      <c r="B7" s="2">
        <v>8</v>
      </c>
      <c r="C7" s="2" t="s">
        <v>7</v>
      </c>
      <c r="D7" s="2" t="s">
        <v>16</v>
      </c>
      <c r="E7" s="10">
        <v>99.65</v>
      </c>
      <c r="F7" s="2" t="s">
        <v>13</v>
      </c>
    </row>
    <row r="8" spans="1:10" x14ac:dyDescent="0.3">
      <c r="A8" s="2" t="s">
        <v>18</v>
      </c>
      <c r="B8" s="2">
        <v>22</v>
      </c>
      <c r="C8" s="2" t="s">
        <v>7</v>
      </c>
      <c r="D8" s="2" t="s">
        <v>16</v>
      </c>
      <c r="E8" s="10">
        <v>89.1</v>
      </c>
      <c r="F8" s="2" t="s">
        <v>9</v>
      </c>
    </row>
    <row r="9" spans="1:10" x14ac:dyDescent="0.3">
      <c r="A9" s="2" t="s">
        <v>19</v>
      </c>
      <c r="B9" s="2">
        <v>10</v>
      </c>
      <c r="C9" s="2" t="s">
        <v>7</v>
      </c>
      <c r="D9" s="2" t="s">
        <v>8</v>
      </c>
      <c r="E9" s="10">
        <v>29.75</v>
      </c>
      <c r="F9" s="2" t="s">
        <v>9</v>
      </c>
    </row>
    <row r="10" spans="1:10" x14ac:dyDescent="0.3">
      <c r="A10" s="2" t="s">
        <v>20</v>
      </c>
      <c r="B10" s="2">
        <v>28</v>
      </c>
      <c r="C10" s="2" t="s">
        <v>7</v>
      </c>
      <c r="D10" s="2" t="s">
        <v>16</v>
      </c>
      <c r="E10" s="10">
        <v>104.8</v>
      </c>
      <c r="F10" s="2" t="s">
        <v>13</v>
      </c>
    </row>
    <row r="11" spans="1:10" x14ac:dyDescent="0.3">
      <c r="A11" s="2" t="s">
        <v>21</v>
      </c>
      <c r="B11" s="2">
        <v>62</v>
      </c>
      <c r="C11" s="2" t="s">
        <v>11</v>
      </c>
      <c r="D11" s="2" t="s">
        <v>8</v>
      </c>
      <c r="E11" s="10">
        <v>56.15</v>
      </c>
      <c r="F11" s="2" t="s">
        <v>9</v>
      </c>
    </row>
    <row r="12" spans="1:10" x14ac:dyDescent="0.3">
      <c r="A12" s="2" t="s">
        <v>22</v>
      </c>
      <c r="B12" s="2">
        <v>13</v>
      </c>
      <c r="C12" s="2" t="s">
        <v>7</v>
      </c>
      <c r="D12" s="2" t="s">
        <v>8</v>
      </c>
      <c r="E12" s="10">
        <v>49.95</v>
      </c>
      <c r="F12" s="2" t="s">
        <v>9</v>
      </c>
    </row>
    <row r="13" spans="1:10" x14ac:dyDescent="0.3">
      <c r="A13" s="2" t="s">
        <v>23</v>
      </c>
      <c r="B13" s="2">
        <v>16</v>
      </c>
      <c r="C13" s="2" t="s">
        <v>24</v>
      </c>
      <c r="D13" s="2" t="s">
        <v>9</v>
      </c>
      <c r="E13" s="10">
        <v>18.95</v>
      </c>
      <c r="F13" s="2" t="s">
        <v>9</v>
      </c>
    </row>
    <row r="14" spans="1:10" x14ac:dyDescent="0.3">
      <c r="A14" s="2" t="s">
        <v>25</v>
      </c>
      <c r="B14" s="2">
        <v>58</v>
      </c>
      <c r="C14" s="2" t="s">
        <v>11</v>
      </c>
      <c r="D14" s="2" t="s">
        <v>16</v>
      </c>
      <c r="E14" s="10">
        <v>100.35</v>
      </c>
      <c r="F14" s="2" t="s">
        <v>9</v>
      </c>
    </row>
    <row r="15" spans="1:10" x14ac:dyDescent="0.3">
      <c r="A15" s="2" t="s">
        <v>26</v>
      </c>
      <c r="B15" s="2">
        <v>49</v>
      </c>
      <c r="C15" s="2" t="s">
        <v>7</v>
      </c>
      <c r="D15" s="2" t="s">
        <v>16</v>
      </c>
      <c r="E15" s="10">
        <v>103.7</v>
      </c>
      <c r="F15" s="2" t="s">
        <v>13</v>
      </c>
    </row>
    <row r="16" spans="1:10" x14ac:dyDescent="0.3">
      <c r="A16" s="2" t="s">
        <v>27</v>
      </c>
      <c r="B16" s="2">
        <v>25</v>
      </c>
      <c r="C16" s="2" t="s">
        <v>7</v>
      </c>
      <c r="D16" s="2" t="s">
        <v>16</v>
      </c>
      <c r="E16" s="10">
        <v>105.5</v>
      </c>
      <c r="F16" s="2" t="s">
        <v>9</v>
      </c>
    </row>
    <row r="17" spans="1:6" x14ac:dyDescent="0.3">
      <c r="A17" s="2" t="s">
        <v>28</v>
      </c>
      <c r="B17" s="2">
        <v>69</v>
      </c>
      <c r="C17" s="2" t="s">
        <v>24</v>
      </c>
      <c r="D17" s="2" t="s">
        <v>16</v>
      </c>
      <c r="E17" s="10">
        <v>113.25</v>
      </c>
      <c r="F17" s="2" t="s">
        <v>9</v>
      </c>
    </row>
    <row r="18" spans="1:6" x14ac:dyDescent="0.3">
      <c r="A18" s="2" t="s">
        <v>29</v>
      </c>
      <c r="B18" s="2">
        <v>52</v>
      </c>
      <c r="C18" s="2" t="s">
        <v>11</v>
      </c>
      <c r="D18" s="2" t="s">
        <v>9</v>
      </c>
      <c r="E18" s="10">
        <v>20.65</v>
      </c>
      <c r="F18" s="2" t="s">
        <v>9</v>
      </c>
    </row>
    <row r="19" spans="1:6" x14ac:dyDescent="0.3">
      <c r="A19" s="2" t="s">
        <v>30</v>
      </c>
      <c r="B19" s="2">
        <v>71</v>
      </c>
      <c r="C19" s="2" t="s">
        <v>24</v>
      </c>
      <c r="D19" s="2" t="s">
        <v>16</v>
      </c>
      <c r="E19" s="10">
        <v>116.25</v>
      </c>
      <c r="F19" s="2" t="s">
        <v>9</v>
      </c>
    </row>
    <row r="20" spans="1:6" x14ac:dyDescent="0.3">
      <c r="A20" s="2" t="s">
        <v>31</v>
      </c>
      <c r="B20" s="2">
        <v>10</v>
      </c>
      <c r="C20" s="2" t="s">
        <v>7</v>
      </c>
      <c r="D20" s="2" t="s">
        <v>8</v>
      </c>
      <c r="E20" s="10">
        <v>55.2</v>
      </c>
      <c r="F20" s="2" t="s">
        <v>13</v>
      </c>
    </row>
    <row r="21" spans="1:6" x14ac:dyDescent="0.3">
      <c r="A21" s="2" t="s">
        <v>32</v>
      </c>
      <c r="B21" s="2">
        <v>21</v>
      </c>
      <c r="C21" s="2" t="s">
        <v>7</v>
      </c>
      <c r="D21" s="2" t="s">
        <v>16</v>
      </c>
      <c r="E21" s="10">
        <v>96.05</v>
      </c>
      <c r="F21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F37A-01B2-4DF2-8002-770D615CC815}">
  <dimension ref="A1:C5"/>
  <sheetViews>
    <sheetView workbookViewId="0">
      <selection activeCell="P20" sqref="P20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3.88671875" bestFit="1" customWidth="1"/>
    <col min="4" max="4" width="10.5546875" bestFit="1" customWidth="1"/>
  </cols>
  <sheetData>
    <row r="1" spans="1:3" x14ac:dyDescent="0.3">
      <c r="A1" s="6" t="s">
        <v>41</v>
      </c>
      <c r="B1" s="6" t="s">
        <v>40</v>
      </c>
    </row>
    <row r="2" spans="1:3" x14ac:dyDescent="0.3">
      <c r="A2" s="6" t="s">
        <v>35</v>
      </c>
      <c r="B2" t="s">
        <v>9</v>
      </c>
      <c r="C2" t="s">
        <v>13</v>
      </c>
    </row>
    <row r="3" spans="1:3" x14ac:dyDescent="0.3">
      <c r="A3" s="7" t="s">
        <v>8</v>
      </c>
      <c r="B3" s="8">
        <v>6</v>
      </c>
      <c r="C3" s="8">
        <v>2</v>
      </c>
    </row>
    <row r="4" spans="1:3" x14ac:dyDescent="0.3">
      <c r="A4" s="7" t="s">
        <v>16</v>
      </c>
      <c r="B4" s="8">
        <v>5</v>
      </c>
      <c r="C4" s="8">
        <v>5</v>
      </c>
    </row>
    <row r="5" spans="1:3" x14ac:dyDescent="0.3">
      <c r="A5" s="7" t="s">
        <v>9</v>
      </c>
      <c r="B5" s="8">
        <v>2</v>
      </c>
      <c r="C5" s="8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C56D-BC45-46F7-AA47-572C8125FA0A}">
  <dimension ref="A1:E21"/>
  <sheetViews>
    <sheetView workbookViewId="0">
      <selection activeCell="U27" sqref="U27"/>
    </sheetView>
  </sheetViews>
  <sheetFormatPr defaultRowHeight="14.4" x14ac:dyDescent="0.3"/>
  <cols>
    <col min="4" max="4" width="32.21875" customWidth="1"/>
  </cols>
  <sheetData>
    <row r="1" spans="1:5" x14ac:dyDescent="0.3">
      <c r="A1" s="3" t="s">
        <v>1</v>
      </c>
      <c r="B1" s="3" t="s">
        <v>5</v>
      </c>
    </row>
    <row r="2" spans="1:5" x14ac:dyDescent="0.3">
      <c r="A2" s="2">
        <v>1</v>
      </c>
      <c r="B2" s="1">
        <f>IF('3'!F2="Yes",1,0)</f>
        <v>0</v>
      </c>
    </row>
    <row r="3" spans="1:5" x14ac:dyDescent="0.3">
      <c r="A3" s="2">
        <v>34</v>
      </c>
      <c r="B3" s="1">
        <f>IF('3'!F3="Yes",1,0)</f>
        <v>0</v>
      </c>
    </row>
    <row r="4" spans="1:5" x14ac:dyDescent="0.3">
      <c r="A4" s="2">
        <v>2</v>
      </c>
      <c r="B4" s="1">
        <f>IF('3'!F4="Yes",1,0)</f>
        <v>1</v>
      </c>
    </row>
    <row r="5" spans="1:5" x14ac:dyDescent="0.3">
      <c r="A5" s="2">
        <v>45</v>
      </c>
      <c r="B5" s="1">
        <f>IF('3'!F5="Yes",1,0)</f>
        <v>0</v>
      </c>
    </row>
    <row r="6" spans="1:5" x14ac:dyDescent="0.3">
      <c r="A6" s="2">
        <v>2</v>
      </c>
      <c r="B6" s="1">
        <f>IF('3'!F6="Yes",1,0)</f>
        <v>1</v>
      </c>
    </row>
    <row r="7" spans="1:5" x14ac:dyDescent="0.3">
      <c r="A7" s="2">
        <v>8</v>
      </c>
      <c r="B7" s="1">
        <f>IF('3'!F7="Yes",1,0)</f>
        <v>1</v>
      </c>
    </row>
    <row r="8" spans="1:5" x14ac:dyDescent="0.3">
      <c r="A8" s="2">
        <v>22</v>
      </c>
      <c r="B8" s="1">
        <f>IF('3'!F8="Yes",1,0)</f>
        <v>0</v>
      </c>
    </row>
    <row r="9" spans="1:5" x14ac:dyDescent="0.3">
      <c r="A9" s="2">
        <v>10</v>
      </c>
      <c r="B9" s="1">
        <f>IF('3'!F9="Yes",1,0)</f>
        <v>0</v>
      </c>
    </row>
    <row r="10" spans="1:5" x14ac:dyDescent="0.3">
      <c r="A10" s="2">
        <v>28</v>
      </c>
      <c r="B10" s="1">
        <f>IF('3'!F10="Yes",1,0)</f>
        <v>1</v>
      </c>
    </row>
    <row r="11" spans="1:5" x14ac:dyDescent="0.3">
      <c r="A11" s="2">
        <v>62</v>
      </c>
      <c r="B11" s="1">
        <f>IF('3'!F11="Yes",1,0)</f>
        <v>0</v>
      </c>
      <c r="D11" s="14" t="s">
        <v>42</v>
      </c>
      <c r="E11" s="5">
        <f>CORREL(A2:A21,B2:B21)</f>
        <v>-0.40957490138259978</v>
      </c>
    </row>
    <row r="12" spans="1:5" x14ac:dyDescent="0.3">
      <c r="A12" s="2">
        <v>13</v>
      </c>
      <c r="B12" s="1">
        <f>IF('3'!F12="Yes",1,0)</f>
        <v>0</v>
      </c>
    </row>
    <row r="13" spans="1:5" x14ac:dyDescent="0.3">
      <c r="A13" s="2">
        <v>16</v>
      </c>
      <c r="B13" s="1">
        <f>IF('3'!F13="Yes",1,0)</f>
        <v>0</v>
      </c>
    </row>
    <row r="14" spans="1:5" x14ac:dyDescent="0.3">
      <c r="A14" s="2">
        <v>58</v>
      </c>
      <c r="B14" s="1">
        <f>IF('3'!F14="Yes",1,0)</f>
        <v>0</v>
      </c>
    </row>
    <row r="15" spans="1:5" x14ac:dyDescent="0.3">
      <c r="A15" s="2">
        <v>49</v>
      </c>
      <c r="B15" s="1">
        <f>IF('3'!F15="Yes",1,0)</f>
        <v>1</v>
      </c>
    </row>
    <row r="16" spans="1:5" x14ac:dyDescent="0.3">
      <c r="A16" s="2">
        <v>25</v>
      </c>
      <c r="B16" s="1">
        <f>IF('3'!F16="Yes",1,0)</f>
        <v>0</v>
      </c>
    </row>
    <row r="17" spans="1:2" x14ac:dyDescent="0.3">
      <c r="A17" s="2">
        <v>69</v>
      </c>
      <c r="B17" s="1">
        <f>IF('3'!F17="Yes",1,0)</f>
        <v>0</v>
      </c>
    </row>
    <row r="18" spans="1:2" x14ac:dyDescent="0.3">
      <c r="A18" s="2">
        <v>52</v>
      </c>
      <c r="B18" s="1">
        <f>IF('3'!F18="Yes",1,0)</f>
        <v>0</v>
      </c>
    </row>
    <row r="19" spans="1:2" x14ac:dyDescent="0.3">
      <c r="A19" s="2">
        <v>71</v>
      </c>
      <c r="B19" s="1">
        <f>IF('3'!F19="Yes",1,0)</f>
        <v>0</v>
      </c>
    </row>
    <row r="20" spans="1:2" x14ac:dyDescent="0.3">
      <c r="A20" s="2">
        <v>10</v>
      </c>
      <c r="B20" s="1">
        <f>IF('3'!F20="Yes",1,0)</f>
        <v>1</v>
      </c>
    </row>
    <row r="21" spans="1:2" x14ac:dyDescent="0.3">
      <c r="A21" s="2">
        <v>21</v>
      </c>
      <c r="B21" s="1">
        <f>IF('3'!F21="Yes",1,0)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2026-08-22T13:54:21Z</dcterms:created>
  <dcterms:modified xsi:type="dcterms:W3CDTF">2026-08-22T14:34:21Z</dcterms:modified>
</cp:coreProperties>
</file>