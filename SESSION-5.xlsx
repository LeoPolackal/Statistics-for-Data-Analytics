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d4e89c7bcea1a6/Desktop/ADVANCED EXCEL ^0 STATISTICS/STATISTICS ASSIGNMENT/"/>
    </mc:Choice>
  </mc:AlternateContent>
  <xr:revisionPtr revIDLastSave="18" documentId="8_{9A76C679-41A2-426A-947D-48483893EC89}" xr6:coauthVersionLast="47" xr6:coauthVersionMax="47" xr10:uidLastSave="{216C7A3B-22E6-48A3-9B57-0F418363F874}"/>
  <bookViews>
    <workbookView xWindow="-108" yWindow="-108" windowWidth="23256" windowHeight="12456" xr2:uid="{7B512A8E-30DD-47C7-B0C7-6C3B467C99D5}"/>
  </bookViews>
  <sheets>
    <sheet name="1" sheetId="1" r:id="rId1"/>
    <sheet name="2" sheetId="2" r:id="rId2"/>
    <sheet name="3" sheetId="3" r:id="rId3"/>
    <sheet name="4" sheetId="4" r:id="rId4"/>
    <sheet name="5" sheetId="5" r:id="rId5"/>
  </sheets>
  <definedNames>
    <definedName name="_xlchart.v1.0" hidden="1">'5'!$B$2</definedName>
    <definedName name="_xlchart.v1.1" hidden="1">'5'!$B$3:$B$10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4" l="1"/>
  <c r="E13" i="4"/>
  <c r="E12" i="4"/>
  <c r="E5" i="4"/>
  <c r="E7" i="2"/>
  <c r="E6" i="2"/>
  <c r="E5" i="2"/>
  <c r="E7" i="4"/>
  <c r="E6" i="4"/>
  <c r="E11" i="3"/>
  <c r="E8" i="3"/>
  <c r="E7" i="3"/>
  <c r="E6" i="3"/>
  <c r="E12" i="1"/>
  <c r="E11" i="1"/>
  <c r="E10" i="1"/>
</calcChain>
</file>

<file path=xl/sharedStrings.xml><?xml version="1.0" encoding="utf-8"?>
<sst xmlns="http://schemas.openxmlformats.org/spreadsheetml/2006/main" count="21" uniqueCount="14">
  <si>
    <t>Zomato orders delivery time(min)</t>
  </si>
  <si>
    <r>
      <t>25</t>
    </r>
    <r>
      <rPr>
        <b/>
        <i/>
        <sz val="8"/>
        <color theme="1"/>
        <rFont val="Aptos Narrow"/>
        <family val="2"/>
        <scheme val="minor"/>
      </rPr>
      <t>th</t>
    </r>
    <r>
      <rPr>
        <b/>
        <i/>
        <sz val="11"/>
        <color theme="1"/>
        <rFont val="Aptos Narrow"/>
        <family val="2"/>
        <scheme val="minor"/>
      </rPr>
      <t xml:space="preserve"> Percentile</t>
    </r>
  </si>
  <si>
    <r>
      <t>50</t>
    </r>
    <r>
      <rPr>
        <b/>
        <i/>
        <sz val="8"/>
        <color theme="1"/>
        <rFont val="Aptos Narrow"/>
        <family val="2"/>
        <scheme val="minor"/>
      </rPr>
      <t>th</t>
    </r>
    <r>
      <rPr>
        <b/>
        <i/>
        <sz val="11"/>
        <color theme="1"/>
        <rFont val="Aptos Narrow"/>
        <family val="2"/>
        <scheme val="minor"/>
      </rPr>
      <t xml:space="preserve"> Percentile</t>
    </r>
  </si>
  <si>
    <r>
      <t>75</t>
    </r>
    <r>
      <rPr>
        <b/>
        <i/>
        <sz val="8"/>
        <color theme="1"/>
        <rFont val="Aptos Narrow"/>
        <family val="2"/>
        <scheme val="minor"/>
      </rPr>
      <t>th</t>
    </r>
    <r>
      <rPr>
        <b/>
        <i/>
        <sz val="11"/>
        <color theme="1"/>
        <rFont val="Aptos Narrow"/>
        <family val="2"/>
        <scheme val="minor"/>
      </rPr>
      <t xml:space="preserve"> Percentile</t>
    </r>
  </si>
  <si>
    <t>IPL SCORES</t>
  </si>
  <si>
    <t>Q1</t>
  </si>
  <si>
    <t>Q2</t>
  </si>
  <si>
    <t>Q3</t>
  </si>
  <si>
    <t xml:space="preserve">DAILY STEPS COUNT </t>
  </si>
  <si>
    <t>IQR</t>
  </si>
  <si>
    <t>SWIGGY ORDER COST</t>
  </si>
  <si>
    <t>LB</t>
  </si>
  <si>
    <t>UB</t>
  </si>
  <si>
    <t xml:space="preserve">WEEKLY SCREEN TIME (in hours)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</si>
</sst>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 [$₹-4009]\ * #,##0_ ;_ [$₹-4009]\ * \-#,##0_ ;_ [$₹-4009]\ * &quot;-&quot;_ ;_ @_ "/>
    <numFmt numFmtId="169" formatCode="[$₹-4009]\ #,##0;[$₹-4009]\ \-#,##0"/>
    <numFmt numFmtId="170" formatCode="[$₹-4009]\ #,##0.0;[$₹-4009]\ \-#,##0.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sz val="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/>
    <xf numFmtId="0" fontId="3" fillId="3" borderId="1" xfId="0" applyFont="1" applyFill="1" applyBorder="1"/>
    <xf numFmtId="0" fontId="2" fillId="4" borderId="1" xfId="0" applyFont="1" applyFill="1" applyBorder="1"/>
    <xf numFmtId="0" fontId="2" fillId="3" borderId="1" xfId="0" applyFont="1" applyFill="1" applyBorder="1"/>
    <xf numFmtId="0" fontId="3" fillId="2" borderId="1" xfId="0" applyFont="1" applyFill="1" applyBorder="1"/>
    <xf numFmtId="164" fontId="0" fillId="0" borderId="1" xfId="1" applyNumberFormat="1" applyFont="1" applyBorder="1" applyAlignment="1">
      <alignment horizontal="center"/>
    </xf>
    <xf numFmtId="169" fontId="2" fillId="4" borderId="1" xfId="1" applyNumberFormat="1" applyFont="1" applyFill="1" applyBorder="1"/>
    <xf numFmtId="170" fontId="2" fillId="4" borderId="1" xfId="0" applyNumberFormat="1" applyFont="1" applyFill="1" applyBorder="1"/>
    <xf numFmtId="164" fontId="2" fillId="4" borderId="1" xfId="1" applyNumberFormat="1" applyFont="1" applyFill="1" applyBorder="1" applyAlignment="1">
      <alignment horizontal="left" indent="4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WEEKLY SCREEN TIME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>
              <a:solidFill>
                <a:schemeClr val="tx1"/>
              </a:solidFill>
            </a:defRPr>
          </a:pPr>
          <a:r>
            <a:rPr lang="en-US" sz="1400" b="1" i="0" u="none" strike="noStrike" baseline="0">
              <a:solidFill>
                <a:schemeClr val="tx1"/>
              </a:solidFill>
              <a:latin typeface="Aptos Narrow" panose="02110004020202020204"/>
            </a:rPr>
            <a:t>WEEKLY SCREEN TIME</a:t>
          </a:r>
        </a:p>
      </cx:txPr>
    </cx:title>
    <cx:plotArea>
      <cx:plotAreaRegion>
        <cx:series layoutId="boxWhisker" uniqueId="{00000000-78ED-489C-91A0-040988ACACD2}">
          <cx:tx>
            <cx:txData>
              <cx:f>_xlchart.v1.0</cx:f>
              <cx:v>WEEKLY SCREEN TIME (in hours) </cx:v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/>
        <cx:tickLabels/>
      </cx:axis>
      <cx:axis id="1">
        <cx:valScaling/>
        <cx:title>
          <cx:tx>
            <cx:txData>
              <cx:v>SCREEN  TIME  HOURS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>
                  <a:solidFill>
                    <a:schemeClr val="tx1"/>
                  </a:solidFill>
                </a:defRPr>
              </a:pPr>
              <a:r>
                <a:rPr lang="en-US" sz="900" b="1" i="0" u="none" strike="noStrike" baseline="0">
                  <a:solidFill>
                    <a:schemeClr val="tx1"/>
                  </a:solidFill>
                  <a:latin typeface="Aptos Narrow" panose="02110004020202020204"/>
                </a:rPr>
                <a:t>SCREEN  TIME  HOURS</a:t>
              </a:r>
            </a:p>
          </cx:txPr>
        </cx:title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endParaRPr lang="en-US" sz="900" b="0" i="0" u="none" strike="noStrike" baseline="0">
              <a:solidFill>
                <a:schemeClr val="tx1"/>
              </a:solidFill>
              <a:latin typeface="Aptos Narrow" panose="02110004020202020204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129540</xdr:colOff>
      <xdr:row>12</xdr:row>
      <xdr:rowOff>22860</xdr:rowOff>
    </xdr:from>
    <xdr:to>
      <xdr:col>14</xdr:col>
      <xdr:colOff>129540</xdr:colOff>
      <xdr:row>15</xdr:row>
      <xdr:rowOff>144780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52348B2-4C28-F7AD-CB41-CA3B4B61FEF2}"/>
            </a:ext>
          </a:extLst>
        </xdr:cNvPr>
        <xdr:cNvSpPr txBox="1"/>
      </xdr:nvSpPr>
      <xdr:spPr>
        <a:xfrm>
          <a:off x="2598420" y="2217420"/>
          <a:ext cx="6705600" cy="67056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The IQR represents the spread of the middle 50% of your daily step counts. A small IQR indicates consistent daily activity routines, as half of your days fall within a narrow step range. A large IQR indicates wide fluctuations between sedentary and highly active days.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495300</xdr:colOff>
      <xdr:row>6</xdr:row>
      <xdr:rowOff>41910</xdr:rowOff>
    </xdr:from>
    <xdr:to>
      <xdr:col>13</xdr:col>
      <xdr:colOff>190500</xdr:colOff>
      <xdr:row>21</xdr:row>
      <xdr:rowOff>41910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AA39E7B-E3C0-FD85-7573-99C378ECFDB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00600" y="113919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BFC55-1254-4F9E-BDBE-94BA384C1F7C}">
  <dimension ref="B2:E22"/>
  <sheetViews>
    <sheetView tabSelected="1" workbookViewId="0">
      <selection activeCell="E15" sqref="E15"/>
    </sheetView>
  </sheetViews>
  <sheetFormatPr defaultRowHeight="14.4" x14ac:dyDescent="0.3"/>
  <cols>
    <col min="2" max="2" width="29.21875" bestFit="1" customWidth="1"/>
    <col min="4" max="4" width="14.33203125" bestFit="1" customWidth="1"/>
  </cols>
  <sheetData>
    <row r="2" spans="2:5" x14ac:dyDescent="0.3">
      <c r="B2" s="3" t="s">
        <v>0</v>
      </c>
    </row>
    <row r="3" spans="2:5" x14ac:dyDescent="0.3">
      <c r="B3" s="2">
        <v>22</v>
      </c>
    </row>
    <row r="4" spans="2:5" x14ac:dyDescent="0.3">
      <c r="B4" s="2">
        <v>25</v>
      </c>
    </row>
    <row r="5" spans="2:5" x14ac:dyDescent="0.3">
      <c r="B5" s="2">
        <v>28</v>
      </c>
    </row>
    <row r="6" spans="2:5" x14ac:dyDescent="0.3">
      <c r="B6" s="2">
        <v>30</v>
      </c>
    </row>
    <row r="7" spans="2:5" x14ac:dyDescent="0.3">
      <c r="B7" s="2">
        <v>31</v>
      </c>
    </row>
    <row r="8" spans="2:5" x14ac:dyDescent="0.3">
      <c r="B8" s="2">
        <v>33</v>
      </c>
    </row>
    <row r="9" spans="2:5" x14ac:dyDescent="0.3">
      <c r="B9" s="2">
        <v>35</v>
      </c>
    </row>
    <row r="10" spans="2:5" x14ac:dyDescent="0.3">
      <c r="B10" s="2">
        <v>36</v>
      </c>
      <c r="D10" s="5" t="s">
        <v>1</v>
      </c>
      <c r="E10" s="6" t="str">
        <f>_xlfn.CONCAT(_xlfn.PERCENTILE.INC(B$3:B$22,0.25)," ","min")</f>
        <v>32.5 min</v>
      </c>
    </row>
    <row r="11" spans="2:5" x14ac:dyDescent="0.3">
      <c r="B11" s="2">
        <v>40</v>
      </c>
      <c r="D11" s="5" t="s">
        <v>2</v>
      </c>
      <c r="E11" s="6" t="str">
        <f>_xlfn.CONCAT(_xlfn.PERCENTILE.INC(B$3:B$22,0.5)," ","min")</f>
        <v>43.5 min</v>
      </c>
    </row>
    <row r="12" spans="2:5" x14ac:dyDescent="0.3">
      <c r="B12" s="2">
        <v>42</v>
      </c>
      <c r="D12" s="5" t="s">
        <v>3</v>
      </c>
      <c r="E12" s="6" t="str">
        <f>_xlfn.CONCAT(_xlfn.PERCENTILE.INC(B$3:B$22,0.75)," ","min")</f>
        <v>52.75 min</v>
      </c>
    </row>
    <row r="13" spans="2:5" x14ac:dyDescent="0.3">
      <c r="B13" s="2">
        <v>45</v>
      </c>
    </row>
    <row r="14" spans="2:5" x14ac:dyDescent="0.3">
      <c r="B14" s="2">
        <v>46</v>
      </c>
    </row>
    <row r="15" spans="2:5" x14ac:dyDescent="0.3">
      <c r="B15" s="2">
        <v>48</v>
      </c>
    </row>
    <row r="16" spans="2:5" x14ac:dyDescent="0.3">
      <c r="B16" s="2">
        <v>50</v>
      </c>
    </row>
    <row r="17" spans="2:2" x14ac:dyDescent="0.3">
      <c r="B17" s="2">
        <v>52</v>
      </c>
    </row>
    <row r="18" spans="2:2" x14ac:dyDescent="0.3">
      <c r="B18" s="2">
        <v>55</v>
      </c>
    </row>
    <row r="19" spans="2:2" x14ac:dyDescent="0.3">
      <c r="B19" s="2">
        <v>60</v>
      </c>
    </row>
    <row r="20" spans="2:2" x14ac:dyDescent="0.3">
      <c r="B20" s="2">
        <v>62</v>
      </c>
    </row>
    <row r="21" spans="2:2" x14ac:dyDescent="0.3">
      <c r="B21" s="2">
        <v>65</v>
      </c>
    </row>
    <row r="22" spans="2:2" x14ac:dyDescent="0.3">
      <c r="B22" s="2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6C599-951B-4F1A-B106-A23BD354C69E}">
  <dimension ref="B2:E17"/>
  <sheetViews>
    <sheetView workbookViewId="0">
      <selection activeCell="E8" sqref="E8"/>
    </sheetView>
  </sheetViews>
  <sheetFormatPr defaultRowHeight="14.4" x14ac:dyDescent="0.3"/>
  <cols>
    <col min="2" max="2" width="10.44140625" bestFit="1" customWidth="1"/>
  </cols>
  <sheetData>
    <row r="2" spans="2:5" x14ac:dyDescent="0.3">
      <c r="B2" s="7" t="s">
        <v>4</v>
      </c>
    </row>
    <row r="3" spans="2:5" x14ac:dyDescent="0.3">
      <c r="B3" s="1">
        <v>12</v>
      </c>
    </row>
    <row r="4" spans="2:5" x14ac:dyDescent="0.3">
      <c r="B4" s="1">
        <v>0</v>
      </c>
    </row>
    <row r="5" spans="2:5" x14ac:dyDescent="0.3">
      <c r="B5" s="1">
        <v>45</v>
      </c>
      <c r="D5" s="8" t="s">
        <v>5</v>
      </c>
      <c r="E5" s="6" t="str">
        <f>_xlfn.CONCAT(_xlfn.QUARTILE.INC(B$3:B$17,1)," ","Runs")</f>
        <v>13 Runs</v>
      </c>
    </row>
    <row r="6" spans="2:5" x14ac:dyDescent="0.3">
      <c r="B6" s="1">
        <v>88</v>
      </c>
      <c r="D6" s="8" t="s">
        <v>6</v>
      </c>
      <c r="E6" s="6" t="str">
        <f>_xlfn.CONCAT(_xlfn.QUARTILE.INC(B$3:B$17,2)," ","Runs")</f>
        <v>41 Runs</v>
      </c>
    </row>
    <row r="7" spans="2:5" x14ac:dyDescent="0.3">
      <c r="B7" s="1">
        <v>34</v>
      </c>
      <c r="D7" s="8" t="s">
        <v>7</v>
      </c>
      <c r="E7" s="6" t="str">
        <f>_xlfn.CONCAT(_xlfn.QUARTILE.INC(B$3:B$17,3)," ","Runs")</f>
        <v>72.5 Runs</v>
      </c>
    </row>
    <row r="8" spans="2:5" x14ac:dyDescent="0.3">
      <c r="B8" s="1">
        <v>110</v>
      </c>
    </row>
    <row r="9" spans="2:5" x14ac:dyDescent="0.3">
      <c r="B9" s="1">
        <v>2</v>
      </c>
    </row>
    <row r="10" spans="2:5" x14ac:dyDescent="0.3">
      <c r="B10" s="1">
        <v>56</v>
      </c>
    </row>
    <row r="11" spans="2:5" x14ac:dyDescent="0.3">
      <c r="B11" s="1">
        <v>67</v>
      </c>
    </row>
    <row r="12" spans="2:5" x14ac:dyDescent="0.3">
      <c r="B12" s="1">
        <v>23</v>
      </c>
    </row>
    <row r="13" spans="2:5" x14ac:dyDescent="0.3">
      <c r="B13" s="1">
        <v>14</v>
      </c>
    </row>
    <row r="14" spans="2:5" x14ac:dyDescent="0.3">
      <c r="B14" s="1">
        <v>78</v>
      </c>
    </row>
    <row r="15" spans="2:5" x14ac:dyDescent="0.3">
      <c r="B15" s="1">
        <v>92</v>
      </c>
    </row>
    <row r="16" spans="2:5" x14ac:dyDescent="0.3">
      <c r="B16" s="1">
        <v>5</v>
      </c>
    </row>
    <row r="17" spans="2:2" x14ac:dyDescent="0.3">
      <c r="B17" s="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DD779-2DC3-4B19-B4A8-FEB4164D9D2A}">
  <dimension ref="B2:E32"/>
  <sheetViews>
    <sheetView workbookViewId="0">
      <selection activeCell="L35" sqref="L35"/>
    </sheetView>
  </sheetViews>
  <sheetFormatPr defaultRowHeight="14.4" x14ac:dyDescent="0.3"/>
  <cols>
    <col min="2" max="2" width="18.21875" bestFit="1" customWidth="1"/>
  </cols>
  <sheetData>
    <row r="2" spans="2:5" x14ac:dyDescent="0.3">
      <c r="B2" s="3" t="s">
        <v>8</v>
      </c>
    </row>
    <row r="3" spans="2:5" x14ac:dyDescent="0.3">
      <c r="B3" s="2">
        <v>6200</v>
      </c>
    </row>
    <row r="4" spans="2:5" x14ac:dyDescent="0.3">
      <c r="B4" s="2">
        <v>7100</v>
      </c>
    </row>
    <row r="5" spans="2:5" x14ac:dyDescent="0.3">
      <c r="B5" s="2">
        <v>8000</v>
      </c>
    </row>
    <row r="6" spans="2:5" x14ac:dyDescent="0.3">
      <c r="B6" s="2">
        <v>6500</v>
      </c>
      <c r="D6" s="5" t="s">
        <v>5</v>
      </c>
      <c r="E6" s="6">
        <f>_xlfn.QUARTILE.INC(B$3:B$32,1)</f>
        <v>6725</v>
      </c>
    </row>
    <row r="7" spans="2:5" x14ac:dyDescent="0.3">
      <c r="B7" s="2">
        <v>9200</v>
      </c>
      <c r="D7" s="5" t="s">
        <v>6</v>
      </c>
      <c r="E7" s="6">
        <f>_xlfn.QUARTILE.INC(B$3:B$32,2)</f>
        <v>7650</v>
      </c>
    </row>
    <row r="8" spans="2:5" x14ac:dyDescent="0.3">
      <c r="B8" s="2">
        <v>7800</v>
      </c>
      <c r="D8" s="5" t="s">
        <v>7</v>
      </c>
      <c r="E8" s="6">
        <f>_xlfn.QUARTILE.INC(B$3:B$32,3)</f>
        <v>8375</v>
      </c>
    </row>
    <row r="9" spans="2:5" x14ac:dyDescent="0.3">
      <c r="B9" s="2">
        <v>8500</v>
      </c>
    </row>
    <row r="10" spans="2:5" x14ac:dyDescent="0.3">
      <c r="B10" s="2">
        <v>5900</v>
      </c>
    </row>
    <row r="11" spans="2:5" x14ac:dyDescent="0.3">
      <c r="B11" s="2">
        <v>6400</v>
      </c>
      <c r="D11" s="5" t="s">
        <v>9</v>
      </c>
      <c r="E11" s="6">
        <f>E8-E6</f>
        <v>1650</v>
      </c>
    </row>
    <row r="12" spans="2:5" x14ac:dyDescent="0.3">
      <c r="B12" s="2">
        <v>7300</v>
      </c>
    </row>
    <row r="13" spans="2:5" x14ac:dyDescent="0.3">
      <c r="B13" s="2">
        <v>8100</v>
      </c>
    </row>
    <row r="14" spans="2:5" x14ac:dyDescent="0.3">
      <c r="B14" s="2">
        <v>9000</v>
      </c>
    </row>
    <row r="15" spans="2:5" x14ac:dyDescent="0.3">
      <c r="B15" s="2">
        <v>7600</v>
      </c>
    </row>
    <row r="16" spans="2:5" x14ac:dyDescent="0.3">
      <c r="B16" s="2">
        <v>8300</v>
      </c>
    </row>
    <row r="17" spans="2:2" x14ac:dyDescent="0.3">
      <c r="B17" s="2">
        <v>6100</v>
      </c>
    </row>
    <row r="18" spans="2:2" x14ac:dyDescent="0.3">
      <c r="B18" s="2">
        <v>6800</v>
      </c>
    </row>
    <row r="19" spans="2:2" x14ac:dyDescent="0.3">
      <c r="B19" s="2">
        <v>7400</v>
      </c>
    </row>
    <row r="20" spans="2:2" x14ac:dyDescent="0.3">
      <c r="B20" s="2">
        <v>8800</v>
      </c>
    </row>
    <row r="21" spans="2:2" x14ac:dyDescent="0.3">
      <c r="B21" s="2">
        <v>9500</v>
      </c>
    </row>
    <row r="22" spans="2:2" x14ac:dyDescent="0.3">
      <c r="B22" s="2">
        <v>7700</v>
      </c>
    </row>
    <row r="23" spans="2:2" x14ac:dyDescent="0.3">
      <c r="B23" s="2">
        <v>8200</v>
      </c>
    </row>
    <row r="24" spans="2:2" x14ac:dyDescent="0.3">
      <c r="B24" s="2">
        <v>6000</v>
      </c>
    </row>
    <row r="25" spans="2:2" x14ac:dyDescent="0.3">
      <c r="B25" s="2">
        <v>6700</v>
      </c>
    </row>
    <row r="26" spans="2:2" x14ac:dyDescent="0.3">
      <c r="B26" s="2">
        <v>7500</v>
      </c>
    </row>
    <row r="27" spans="2:2" x14ac:dyDescent="0.3">
      <c r="B27" s="2">
        <v>8900</v>
      </c>
    </row>
    <row r="28" spans="2:2" x14ac:dyDescent="0.3">
      <c r="B28" s="2">
        <v>9100</v>
      </c>
    </row>
    <row r="29" spans="2:2" x14ac:dyDescent="0.3">
      <c r="B29" s="2">
        <v>7900</v>
      </c>
    </row>
    <row r="30" spans="2:2" x14ac:dyDescent="0.3">
      <c r="B30" s="2">
        <v>8400</v>
      </c>
    </row>
    <row r="31" spans="2:2" x14ac:dyDescent="0.3">
      <c r="B31" s="2">
        <v>6300</v>
      </c>
    </row>
    <row r="32" spans="2:2" x14ac:dyDescent="0.3">
      <c r="B32" s="2">
        <v>7200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12CC5-6C10-4B68-86CD-85D6C652559F}">
  <dimension ref="B2:E13"/>
  <sheetViews>
    <sheetView workbookViewId="0">
      <selection activeCell="G11" sqref="G11"/>
    </sheetView>
  </sheetViews>
  <sheetFormatPr defaultRowHeight="14.4" x14ac:dyDescent="0.3"/>
  <cols>
    <col min="2" max="2" width="18.88671875" bestFit="1" customWidth="1"/>
  </cols>
  <sheetData>
    <row r="2" spans="2:5" x14ac:dyDescent="0.3">
      <c r="B2" s="7" t="s">
        <v>10</v>
      </c>
    </row>
    <row r="3" spans="2:5" x14ac:dyDescent="0.3">
      <c r="B3" s="9">
        <v>250</v>
      </c>
    </row>
    <row r="4" spans="2:5" x14ac:dyDescent="0.3">
      <c r="B4" s="9">
        <v>300</v>
      </c>
    </row>
    <row r="5" spans="2:5" x14ac:dyDescent="0.3">
      <c r="B5" s="9">
        <v>280</v>
      </c>
      <c r="D5" s="8" t="s">
        <v>5</v>
      </c>
      <c r="E5" s="10">
        <f>_xlfn.QUARTILE.INC(B$3:B$12,1)</f>
        <v>272.5</v>
      </c>
    </row>
    <row r="6" spans="2:5" x14ac:dyDescent="0.3">
      <c r="B6" s="9">
        <v>320</v>
      </c>
      <c r="D6" s="8" t="s">
        <v>6</v>
      </c>
      <c r="E6" s="10">
        <f>_xlfn.QUARTILE.INC(B$3:B$12,2)</f>
        <v>295</v>
      </c>
    </row>
    <row r="7" spans="2:5" x14ac:dyDescent="0.3">
      <c r="B7" s="9">
        <v>290</v>
      </c>
      <c r="D7" s="8" t="s">
        <v>7</v>
      </c>
      <c r="E7" s="10">
        <f>_xlfn.QUARTILE.INC(B$3:B$12,3)</f>
        <v>317.5</v>
      </c>
    </row>
    <row r="8" spans="2:5" x14ac:dyDescent="0.3">
      <c r="B8" s="9">
        <v>310</v>
      </c>
      <c r="D8" s="4"/>
    </row>
    <row r="9" spans="2:5" x14ac:dyDescent="0.3">
      <c r="B9" s="9">
        <v>3500</v>
      </c>
      <c r="D9" s="8" t="s">
        <v>9</v>
      </c>
      <c r="E9" s="12">
        <f>E7-E5</f>
        <v>45</v>
      </c>
    </row>
    <row r="10" spans="2:5" x14ac:dyDescent="0.3">
      <c r="B10" s="9">
        <v>270</v>
      </c>
    </row>
    <row r="11" spans="2:5" x14ac:dyDescent="0.3">
      <c r="B11" s="9">
        <v>40</v>
      </c>
    </row>
    <row r="12" spans="2:5" x14ac:dyDescent="0.3">
      <c r="B12" s="9">
        <v>330</v>
      </c>
      <c r="D12" s="5" t="s">
        <v>11</v>
      </c>
      <c r="E12" s="11">
        <f>E5-(1.5*E9)</f>
        <v>205</v>
      </c>
    </row>
    <row r="13" spans="2:5" x14ac:dyDescent="0.3">
      <c r="D13" s="5" t="s">
        <v>12</v>
      </c>
      <c r="E13" s="11">
        <f>E7+(1.5*E9)</f>
        <v>385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9D1CB-2419-4134-BB7C-755EA9937094}">
  <dimension ref="B2:B10"/>
  <sheetViews>
    <sheetView workbookViewId="0">
      <selection activeCell="E7" sqref="E7"/>
    </sheetView>
  </sheetViews>
  <sheetFormatPr defaultRowHeight="14.4" x14ac:dyDescent="0.3"/>
  <cols>
    <col min="2" max="2" width="27.21875" bestFit="1" customWidth="1"/>
  </cols>
  <sheetData>
    <row r="2" spans="2:2" x14ac:dyDescent="0.3">
      <c r="B2" s="3" t="s">
        <v>13</v>
      </c>
    </row>
    <row r="3" spans="2:2" x14ac:dyDescent="0.3">
      <c r="B3" s="2">
        <v>14</v>
      </c>
    </row>
    <row r="4" spans="2:2" x14ac:dyDescent="0.3">
      <c r="B4" s="2">
        <v>16</v>
      </c>
    </row>
    <row r="5" spans="2:2" x14ac:dyDescent="0.3">
      <c r="B5" s="2">
        <v>15</v>
      </c>
    </row>
    <row r="6" spans="2:2" x14ac:dyDescent="0.3">
      <c r="B6" s="2">
        <v>18</v>
      </c>
    </row>
    <row r="7" spans="2:2" x14ac:dyDescent="0.3">
      <c r="B7" s="2">
        <v>17</v>
      </c>
    </row>
    <row r="8" spans="2:2" x14ac:dyDescent="0.3">
      <c r="B8" s="2">
        <v>13</v>
      </c>
    </row>
    <row r="9" spans="2:2" x14ac:dyDescent="0.3">
      <c r="B9" s="2">
        <v>16</v>
      </c>
    </row>
    <row r="10" spans="2:2" x14ac:dyDescent="0.3">
      <c r="B10" s="2">
        <v>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leopolackal123@outlook.com</dc:creator>
  <cp:lastModifiedBy>leopolackal123@outlook.com</cp:lastModifiedBy>
  <dcterms:created xsi:type="dcterms:W3CDTF">2026-08-16T11:37:55Z</dcterms:created>
  <dcterms:modified xsi:type="dcterms:W3CDTF">2026-08-16T12:46:54Z</dcterms:modified>
</cp:coreProperties>
</file>