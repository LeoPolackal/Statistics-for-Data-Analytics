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245" documentId="8_{41CB3336-AD4F-4BA9-B4B6-8B03C4DF3AD0}" xr6:coauthVersionLast="47" xr6:coauthVersionMax="47" xr10:uidLastSave="{86F29270-B426-4A8D-9B89-8293CFF750E9}"/>
  <bookViews>
    <workbookView xWindow="-108" yWindow="-108" windowWidth="23256" windowHeight="12456" xr2:uid="{C5A18FE0-1CD8-452E-B4F9-87022573A4BC}"/>
  </bookViews>
  <sheets>
    <sheet name="1" sheetId="1" r:id="rId1"/>
    <sheet name="2" sheetId="2" r:id="rId2"/>
    <sheet name="3" sheetId="4" r:id="rId3"/>
    <sheet name="4" sheetId="5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5" l="1"/>
  <c r="K10" i="5"/>
  <c r="K7" i="5"/>
  <c r="I7" i="5"/>
  <c r="I6" i="5"/>
  <c r="I5" i="5"/>
  <c r="I4" i="5"/>
  <c r="L5" i="4"/>
  <c r="E4" i="5"/>
  <c r="D4" i="5"/>
  <c r="C4" i="5"/>
  <c r="E3" i="5"/>
  <c r="E2" i="5"/>
  <c r="D3" i="5"/>
  <c r="D2" i="5"/>
  <c r="P10" i="4"/>
  <c r="L8" i="4"/>
  <c r="L6" i="4"/>
  <c r="H18" i="2" l="1"/>
  <c r="G18" i="2"/>
  <c r="F18" i="2"/>
  <c r="H17" i="2"/>
  <c r="G17" i="2"/>
  <c r="F17" i="2"/>
  <c r="E12" i="4"/>
  <c r="E11" i="4"/>
  <c r="E10" i="4"/>
  <c r="D12" i="4"/>
  <c r="D11" i="4"/>
  <c r="D10" i="4"/>
  <c r="C12" i="4"/>
  <c r="C11" i="4"/>
  <c r="C10" i="4"/>
  <c r="N7" i="4" l="1"/>
  <c r="L7" i="4" l="1"/>
  <c r="N10" i="4"/>
</calcChain>
</file>

<file path=xl/sharedStrings.xml><?xml version="1.0" encoding="utf-8"?>
<sst xmlns="http://schemas.openxmlformats.org/spreadsheetml/2006/main" count="257" uniqueCount="39">
  <si>
    <t>Delivery App</t>
  </si>
  <si>
    <t>Paytm</t>
  </si>
  <si>
    <t>PhonePe</t>
  </si>
  <si>
    <t>Credit Card</t>
  </si>
  <si>
    <t>Zomato</t>
  </si>
  <si>
    <t>Swiggy</t>
  </si>
  <si>
    <t>Uber Eats</t>
  </si>
  <si>
    <t>Row Labels</t>
  </si>
  <si>
    <t>Grand Total</t>
  </si>
  <si>
    <t>Column Labels</t>
  </si>
  <si>
    <t>Count of Delivery App</t>
  </si>
  <si>
    <t>Payment Method</t>
  </si>
  <si>
    <t>Gender</t>
  </si>
  <si>
    <t>Music Streaming App</t>
  </si>
  <si>
    <t>Male</t>
  </si>
  <si>
    <t>Spotify</t>
  </si>
  <si>
    <t>Gaana</t>
  </si>
  <si>
    <t>YouTube Music</t>
  </si>
  <si>
    <t>Female</t>
  </si>
  <si>
    <t>Count of Music Streaming App</t>
  </si>
  <si>
    <t>Youtube  Music</t>
  </si>
  <si>
    <t>Credit card</t>
  </si>
  <si>
    <t>P-Value</t>
  </si>
  <si>
    <t>Degrees of Freedom</t>
  </si>
  <si>
    <t>Chi-Square Stat</t>
  </si>
  <si>
    <t>Critical Value</t>
  </si>
  <si>
    <t>Alpha</t>
  </si>
  <si>
    <t>&gt;</t>
  </si>
  <si>
    <t>Chi-Square  Stat</t>
  </si>
  <si>
    <t>Critical</t>
  </si>
  <si>
    <t>&lt;</t>
  </si>
  <si>
    <t>Category</t>
  </si>
  <si>
    <t>Claim(%)</t>
  </si>
  <si>
    <t>Expected(E)</t>
  </si>
  <si>
    <t>(O-E)^2/E</t>
  </si>
  <si>
    <t>Prefer</t>
  </si>
  <si>
    <t>Not Prefer</t>
  </si>
  <si>
    <t>Total</t>
  </si>
  <si>
    <t>Observed(O)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</si>
</sst>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/>
    <xf numFmtId="2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0" fontId="1" fillId="4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91440</xdr:rowOff>
    </xdr:from>
    <xdr:to>
      <xdr:col>9</xdr:col>
      <xdr:colOff>518160</xdr:colOff>
      <xdr:row>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084377-63FC-EC45-AE34-2520BE289540}"/>
            </a:ext>
          </a:extLst>
        </xdr:cNvPr>
        <xdr:cNvSpPr txBox="1"/>
      </xdr:nvSpPr>
      <xdr:spPr>
        <a:xfrm>
          <a:off x="5905500" y="274320"/>
          <a:ext cx="1127760" cy="2667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Chi-Square-Test</a:t>
          </a:r>
        </a:p>
      </xdr:txBody>
    </xdr:sp>
    <xdr:clientData/>
  </xdr:twoCellAnchor>
  <xdr:twoCellAnchor>
    <xdr:from>
      <xdr:col>6</xdr:col>
      <xdr:colOff>365760</xdr:colOff>
      <xdr:row>11</xdr:row>
      <xdr:rowOff>160020</xdr:rowOff>
    </xdr:from>
    <xdr:to>
      <xdr:col>18</xdr:col>
      <xdr:colOff>15240</xdr:colOff>
      <xdr:row>14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E6557D-464A-EB2A-EAAB-2CAA63FC529A}"/>
            </a:ext>
          </a:extLst>
        </xdr:cNvPr>
        <xdr:cNvSpPr txBox="1"/>
      </xdr:nvSpPr>
      <xdr:spPr>
        <a:xfrm>
          <a:off x="4442460" y="2171700"/>
          <a:ext cx="7886700" cy="48768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 P-value is greater than significance</a:t>
          </a:r>
          <a:r>
            <a:rPr lang="en-US" sz="1100" baseline="0"/>
            <a:t> value of alpha and Chi-square Stat less than critical. </a:t>
          </a:r>
          <a:r>
            <a:rPr lang="en-US" sz="1100"/>
            <a:t>So we </a:t>
          </a:r>
          <a:r>
            <a:rPr lang="en-US" sz="1100" b="1"/>
            <a:t>failed</a:t>
          </a:r>
          <a:r>
            <a:rPr lang="en-US" sz="1100" b="1" baseline="0"/>
            <a:t> to reject the null hypothesis (Ho)</a:t>
          </a:r>
          <a:r>
            <a:rPr lang="en-US" sz="1100" baseline="0"/>
            <a:t>. Therefore there is no significance association between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 choice and payment method.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11</xdr:row>
      <xdr:rowOff>160020</xdr:rowOff>
    </xdr:from>
    <xdr:to>
      <xdr:col>16</xdr:col>
      <xdr:colOff>472440</xdr:colOff>
      <xdr:row>16</xdr:row>
      <xdr:rowOff>7620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EEAD6-1ACC-C1D7-AB46-E84654945786}"/>
                </a:ext>
              </a:extLst>
            </xdr:cNvPr>
            <xdr:cNvSpPr txBox="1"/>
          </xdr:nvSpPr>
          <xdr:spPr>
            <a:xfrm>
              <a:off x="4488180" y="2171700"/>
              <a:ext cx="7010400" cy="7620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Here</a:t>
              </a:r>
              <a:r>
                <a:rPr lang="en-US" sz="1100" baseline="0"/>
                <a:t> P-Value is greater than significance value of alpha and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Chi-square Stat less than critical. So 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failed to reject the null hypothesis (Ho)</a:t>
              </a:r>
              <a:r>
                <a:rPr lang="en-US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Therefore t</a:t>
              </a:r>
              <a:r>
                <a:rPr lang="en-US"/>
                <a:t>here is insufficient statistical evidence from the sample of </a:t>
              </a:r>
              <a14:m>
                <m:oMath xmlns:m="http://schemas.openxmlformats.org/officeDocument/2006/math">
                  <m:r>
                    <a:rPr lang="en-US" b="0" i="1">
                      <a:latin typeface="Cambria Math" panose="02040503050406030204" pitchFamily="18" charset="0"/>
                    </a:rPr>
                    <m:t>30</m:t>
                  </m:r>
                  <m:r>
                    <a:rPr lang="en-US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/>
                <a:t>users to refute Flipkart's claim. The observed distribution is consistent with the company's claim that 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70</m:t>
                  </m:r>
                  <m:r>
                    <a:rPr lang="en-US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%</m:t>
                  </m:r>
                </m:oMath>
              </a14:m>
              <a:r>
                <a:rPr lang="en-US"/>
                <a:t> of users prefer the new product.</a:t>
              </a:r>
              <a:endParaRPr 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EEAD6-1ACC-C1D7-AB46-E84654945786}"/>
                </a:ext>
              </a:extLst>
            </xdr:cNvPr>
            <xdr:cNvSpPr txBox="1"/>
          </xdr:nvSpPr>
          <xdr:spPr>
            <a:xfrm>
              <a:off x="4488180" y="2171700"/>
              <a:ext cx="7010400" cy="7620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Here</a:t>
              </a:r>
              <a:r>
                <a:rPr lang="en-US" sz="1100" baseline="0"/>
                <a:t> P-Value is greater than significance value of alpha and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Chi-square Stat less than critical. So 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failed to reject the null hypothesis (Ho)</a:t>
              </a:r>
              <a:r>
                <a:rPr lang="en-US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Therefore t</a:t>
              </a:r>
              <a:r>
                <a:rPr lang="en-US"/>
                <a:t>here is insufficient statistical evidence from the sample of </a:t>
              </a:r>
              <a:r>
                <a:rPr lang="en-US" b="0" i="0">
                  <a:latin typeface="Cambria Math" panose="02040503050406030204" pitchFamily="18" charset="0"/>
                </a:rPr>
                <a:t>30 </a:t>
              </a:r>
              <a:r>
                <a:rPr lang="en-US"/>
                <a:t>users to refute Flipkart's claim. The observed distribution is consistent with the company's claim that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70%</a:t>
              </a:r>
              <a:r>
                <a:rPr lang="en-US"/>
                <a:t> of users prefer the new product.</a:t>
              </a:r>
              <a:endParaRPr lang="en-US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7</xdr:col>
      <xdr:colOff>0</xdr:colOff>
      <xdr:row>1</xdr:row>
      <xdr:rowOff>0</xdr:rowOff>
    </xdr:from>
    <xdr:to>
      <xdr:col>7</xdr:col>
      <xdr:colOff>1127760</xdr:colOff>
      <xdr:row>2</xdr:row>
      <xdr:rowOff>83820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9DE5A-622F-47CC-90D6-E974167F936C}"/>
            </a:ext>
          </a:extLst>
        </xdr:cNvPr>
        <xdr:cNvSpPr txBox="1"/>
      </xdr:nvSpPr>
      <xdr:spPr>
        <a:xfrm>
          <a:off x="4564380" y="182880"/>
          <a:ext cx="1127760" cy="2667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Chi-Square-Test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3.432467361112" createdVersion="8" refreshedVersion="8" minRefreshableVersion="3" recordCount="20" xr:uid="{6A5DA1A9-C48A-43E0-97CD-492739C8BFD2}">
  <cacheSource type="worksheet">
    <worksheetSource ref="A1:B21" sheet="1"/>
  </cacheSource>
  <cacheFields count="2">
    <cacheField name="Delivery App" numFmtId="0">
      <sharedItems count="3">
        <s v="Zomato"/>
        <s v="Swiggy"/>
        <s v="Uber Eats"/>
      </sharedItems>
    </cacheField>
    <cacheField name="Payment Method" numFmtId="0">
      <sharedItems count="3">
        <s v="Paytm"/>
        <s v="PhonePe"/>
        <s v="Cred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3.439866550929" createdVersion="8" refreshedVersion="8" minRefreshableVersion="3" recordCount="70" xr:uid="{03D05C41-9B56-4C34-B61C-0176C3FDEA13}">
  <cacheSource type="worksheet">
    <worksheetSource ref="A1:B71" sheet="2"/>
  </cacheSource>
  <cacheFields count="2">
    <cacheField name="Gender" numFmtId="0">
      <sharedItems count="2">
        <s v="Male"/>
        <s v="Female"/>
      </sharedItems>
    </cacheField>
    <cacheField name="Music Streaming App" numFmtId="0">
      <sharedItems count="3">
        <s v="Spotify"/>
        <s v="Gaana"/>
        <s v="YouTube Mu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2"/>
  </r>
  <r>
    <x v="0"/>
    <x v="2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2"/>
  </r>
  <r>
    <x v="1"/>
    <x v="2"/>
  </r>
  <r>
    <x v="2"/>
    <x v="0"/>
  </r>
  <r>
    <x v="2"/>
    <x v="1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0D4F3-803A-4107-803A-B141497E8D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I8" firstHeaderRow="1" firstDataRow="2" firstDataCol="1"/>
  <pivotFields count="2">
    <pivotField axis="axisRow" dataField="1" showAll="0">
      <items count="4">
        <item x="1"/>
        <item x="2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Delivery Ap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AD9F5-FB56-4C72-B72E-8F87423091F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I13" firstHeaderRow="1" firstDataRow="2" firstDataCol="1"/>
  <pivotFields count="2">
    <pivotField axis="axisRow" showAll="0">
      <items count="3">
        <item x="1"/>
        <item x="0"/>
        <item t="default"/>
      </items>
    </pivotField>
    <pivotField axis="axisCol" dataField="1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Music Streaming Ap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FB34-24BB-4201-8C02-2FB417BA83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F7" firstHeaderRow="1" firstDataRow="2" firstDataCol="1"/>
  <pivotFields count="2">
    <pivotField axis="axisRow" dataField="1" showAll="0">
      <items count="4">
        <item x="1"/>
        <item x="2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Delivery Ap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96C2-214E-4D8C-A379-576557F41741}">
  <dimension ref="A1:I21"/>
  <sheetViews>
    <sheetView tabSelected="1" workbookViewId="0">
      <selection activeCell="D20" sqref="D20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8.21875" bestFit="1" customWidth="1"/>
    <col min="4" max="4" width="10.109375" bestFit="1" customWidth="1"/>
    <col min="5" max="5" width="18.77734375" bestFit="1" customWidth="1"/>
    <col min="6" max="6" width="15.5546875" bestFit="1" customWidth="1"/>
    <col min="7" max="7" width="6.33203125" bestFit="1" customWidth="1"/>
    <col min="8" max="8" width="8.21875" bestFit="1" customWidth="1"/>
    <col min="9" max="9" width="10.5546875" bestFit="1" customWidth="1"/>
    <col min="10" max="10" width="13.5546875" bestFit="1" customWidth="1"/>
    <col min="11" max="11" width="15.44140625" bestFit="1" customWidth="1"/>
    <col min="12" max="12" width="17.88671875" bestFit="1" customWidth="1"/>
    <col min="13" max="13" width="2" bestFit="1" customWidth="1"/>
    <col min="14" max="14" width="17.88671875" bestFit="1" customWidth="1"/>
    <col min="15" max="15" width="2" bestFit="1" customWidth="1"/>
    <col min="16" max="16" width="18.109375" bestFit="1" customWidth="1"/>
    <col min="17" max="17" width="20" bestFit="1" customWidth="1"/>
    <col min="18" max="18" width="22.44140625" bestFit="1" customWidth="1"/>
    <col min="19" max="19" width="6.44140625" bestFit="1" customWidth="1"/>
    <col min="20" max="20" width="3.6640625" bestFit="1" customWidth="1"/>
    <col min="21" max="21" width="6.44140625" bestFit="1" customWidth="1"/>
    <col min="22" max="22" width="17.88671875" bestFit="1" customWidth="1"/>
    <col min="23" max="23" width="6.44140625" bestFit="1" customWidth="1"/>
    <col min="24" max="24" width="3.6640625" bestFit="1" customWidth="1"/>
    <col min="25" max="25" width="6.44140625" bestFit="1" customWidth="1"/>
    <col min="26" max="26" width="3.6640625" bestFit="1" customWidth="1"/>
    <col min="27" max="27" width="6.44140625" bestFit="1" customWidth="1"/>
    <col min="28" max="28" width="18.109375" bestFit="1" customWidth="1"/>
    <col min="29" max="29" width="20" bestFit="1" customWidth="1"/>
    <col min="30" max="30" width="22.44140625" bestFit="1" customWidth="1"/>
    <col min="31" max="31" width="3.6640625" bestFit="1" customWidth="1"/>
    <col min="32" max="33" width="6.44140625" bestFit="1" customWidth="1"/>
    <col min="34" max="34" width="3.6640625" bestFit="1" customWidth="1"/>
    <col min="35" max="36" width="6.44140625" bestFit="1" customWidth="1"/>
    <col min="37" max="37" width="18.109375" bestFit="1" customWidth="1"/>
    <col min="38" max="38" width="20" bestFit="1" customWidth="1"/>
    <col min="39" max="39" width="22.44140625" bestFit="1" customWidth="1"/>
  </cols>
  <sheetData>
    <row r="1" spans="1:9" x14ac:dyDescent="0.3">
      <c r="A1" s="3" t="s">
        <v>0</v>
      </c>
      <c r="B1" s="3" t="s">
        <v>11</v>
      </c>
      <c r="C1" s="7"/>
      <c r="D1" s="7"/>
      <c r="E1" s="7"/>
    </row>
    <row r="2" spans="1:9" x14ac:dyDescent="0.3">
      <c r="A2" s="1" t="s">
        <v>4</v>
      </c>
      <c r="B2" s="1" t="s">
        <v>1</v>
      </c>
      <c r="C2" s="4"/>
      <c r="D2" s="4"/>
      <c r="E2" s="4"/>
    </row>
    <row r="3" spans="1:9" x14ac:dyDescent="0.3">
      <c r="A3" s="1" t="s">
        <v>4</v>
      </c>
      <c r="B3" s="1" t="s">
        <v>1</v>
      </c>
      <c r="C3" s="4"/>
      <c r="D3" s="4"/>
      <c r="E3" s="5" t="s">
        <v>10</v>
      </c>
      <c r="F3" s="5" t="s">
        <v>9</v>
      </c>
    </row>
    <row r="4" spans="1:9" x14ac:dyDescent="0.3">
      <c r="A4" s="1" t="s">
        <v>4</v>
      </c>
      <c r="B4" s="1" t="s">
        <v>1</v>
      </c>
      <c r="C4" s="4"/>
      <c r="D4" s="4"/>
      <c r="E4" s="5" t="s">
        <v>7</v>
      </c>
      <c r="F4" t="s">
        <v>3</v>
      </c>
      <c r="G4" t="s">
        <v>1</v>
      </c>
      <c r="H4" t="s">
        <v>2</v>
      </c>
      <c r="I4" t="s">
        <v>8</v>
      </c>
    </row>
    <row r="5" spans="1:9" x14ac:dyDescent="0.3">
      <c r="A5" s="1" t="s">
        <v>4</v>
      </c>
      <c r="B5" s="1" t="s">
        <v>1</v>
      </c>
      <c r="C5" s="4"/>
      <c r="D5" s="4"/>
      <c r="E5" s="6" t="s">
        <v>5</v>
      </c>
      <c r="F5">
        <v>2</v>
      </c>
      <c r="G5">
        <v>2</v>
      </c>
      <c r="H5">
        <v>4</v>
      </c>
      <c r="I5">
        <v>8</v>
      </c>
    </row>
    <row r="6" spans="1:9" x14ac:dyDescent="0.3">
      <c r="A6" s="1" t="s">
        <v>4</v>
      </c>
      <c r="B6" s="1" t="s">
        <v>2</v>
      </c>
      <c r="E6" s="6" t="s">
        <v>6</v>
      </c>
      <c r="F6">
        <v>1</v>
      </c>
      <c r="G6">
        <v>1</v>
      </c>
      <c r="H6">
        <v>1</v>
      </c>
      <c r="I6">
        <v>3</v>
      </c>
    </row>
    <row r="7" spans="1:9" x14ac:dyDescent="0.3">
      <c r="A7" s="1" t="s">
        <v>4</v>
      </c>
      <c r="B7" s="1" t="s">
        <v>2</v>
      </c>
      <c r="E7" s="6" t="s">
        <v>4</v>
      </c>
      <c r="F7">
        <v>2</v>
      </c>
      <c r="G7">
        <v>4</v>
      </c>
      <c r="H7">
        <v>3</v>
      </c>
      <c r="I7">
        <v>9</v>
      </c>
    </row>
    <row r="8" spans="1:9" x14ac:dyDescent="0.3">
      <c r="A8" s="1" t="s">
        <v>4</v>
      </c>
      <c r="B8" s="1" t="s">
        <v>2</v>
      </c>
      <c r="E8" s="6" t="s">
        <v>8</v>
      </c>
      <c r="F8">
        <v>5</v>
      </c>
      <c r="G8">
        <v>7</v>
      </c>
      <c r="H8">
        <v>8</v>
      </c>
      <c r="I8">
        <v>20</v>
      </c>
    </row>
    <row r="9" spans="1:9" x14ac:dyDescent="0.3">
      <c r="A9" s="1" t="s">
        <v>4</v>
      </c>
      <c r="B9" s="1" t="s">
        <v>3</v>
      </c>
    </row>
    <row r="10" spans="1:9" x14ac:dyDescent="0.3">
      <c r="A10" s="1" t="s">
        <v>4</v>
      </c>
      <c r="B10" s="1" t="s">
        <v>3</v>
      </c>
    </row>
    <row r="11" spans="1:9" x14ac:dyDescent="0.3">
      <c r="A11" s="1" t="s">
        <v>5</v>
      </c>
      <c r="B11" s="1" t="s">
        <v>1</v>
      </c>
    </row>
    <row r="12" spans="1:9" x14ac:dyDescent="0.3">
      <c r="A12" s="1" t="s">
        <v>5</v>
      </c>
      <c r="B12" s="1" t="s">
        <v>1</v>
      </c>
    </row>
    <row r="13" spans="1:9" x14ac:dyDescent="0.3">
      <c r="A13" s="1" t="s">
        <v>5</v>
      </c>
      <c r="B13" s="1" t="s">
        <v>2</v>
      </c>
    </row>
    <row r="14" spans="1:9" x14ac:dyDescent="0.3">
      <c r="A14" s="1" t="s">
        <v>5</v>
      </c>
      <c r="B14" s="1" t="s">
        <v>2</v>
      </c>
    </row>
    <row r="15" spans="1:9" x14ac:dyDescent="0.3">
      <c r="A15" s="1" t="s">
        <v>5</v>
      </c>
      <c r="B15" s="1" t="s">
        <v>2</v>
      </c>
    </row>
    <row r="16" spans="1:9" x14ac:dyDescent="0.3">
      <c r="A16" s="1" t="s">
        <v>5</v>
      </c>
      <c r="B16" s="1" t="s">
        <v>2</v>
      </c>
    </row>
    <row r="17" spans="1:2" x14ac:dyDescent="0.3">
      <c r="A17" s="1" t="s">
        <v>5</v>
      </c>
      <c r="B17" s="1" t="s">
        <v>3</v>
      </c>
    </row>
    <row r="18" spans="1:2" x14ac:dyDescent="0.3">
      <c r="A18" s="1" t="s">
        <v>5</v>
      </c>
      <c r="B18" s="1" t="s">
        <v>3</v>
      </c>
    </row>
    <row r="19" spans="1:2" x14ac:dyDescent="0.3">
      <c r="A19" s="1" t="s">
        <v>6</v>
      </c>
      <c r="B19" s="1" t="s">
        <v>1</v>
      </c>
    </row>
    <row r="20" spans="1:2" x14ac:dyDescent="0.3">
      <c r="A20" s="1" t="s">
        <v>6</v>
      </c>
      <c r="B20" s="1" t="s">
        <v>2</v>
      </c>
    </row>
    <row r="21" spans="1:2" x14ac:dyDescent="0.3">
      <c r="A21" s="1" t="s">
        <v>6</v>
      </c>
      <c r="B2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96AA-4C38-4A07-B50C-71B00CF6BE39}">
  <dimension ref="A1:J71"/>
  <sheetViews>
    <sheetView workbookViewId="0">
      <selection activeCell="F18" sqref="F18"/>
    </sheetView>
  </sheetViews>
  <sheetFormatPr defaultRowHeight="14.4" x14ac:dyDescent="0.3"/>
  <cols>
    <col min="1" max="1" width="7" bestFit="1" customWidth="1"/>
    <col min="2" max="2" width="17.88671875" bestFit="1" customWidth="1"/>
    <col min="5" max="5" width="26" bestFit="1" customWidth="1"/>
    <col min="6" max="6" width="15.5546875" bestFit="1" customWidth="1"/>
    <col min="7" max="7" width="6.88671875" bestFit="1" customWidth="1"/>
    <col min="8" max="8" width="13.33203125" bestFit="1" customWidth="1"/>
    <col min="9" max="9" width="10.5546875" bestFit="1" customWidth="1"/>
    <col min="10" max="10" width="14.21875" bestFit="1" customWidth="1"/>
  </cols>
  <sheetData>
    <row r="1" spans="1:10" x14ac:dyDescent="0.3">
      <c r="A1" s="2" t="s">
        <v>12</v>
      </c>
      <c r="B1" s="2" t="s">
        <v>13</v>
      </c>
    </row>
    <row r="2" spans="1:10" x14ac:dyDescent="0.3">
      <c r="A2" s="1" t="s">
        <v>14</v>
      </c>
      <c r="B2" s="1" t="s">
        <v>15</v>
      </c>
    </row>
    <row r="3" spans="1:10" x14ac:dyDescent="0.3">
      <c r="A3" s="1" t="s">
        <v>14</v>
      </c>
      <c r="B3" s="1" t="s">
        <v>15</v>
      </c>
    </row>
    <row r="4" spans="1:10" x14ac:dyDescent="0.3">
      <c r="A4" s="1" t="s">
        <v>14</v>
      </c>
      <c r="B4" s="1" t="s">
        <v>15</v>
      </c>
    </row>
    <row r="5" spans="1:10" x14ac:dyDescent="0.3">
      <c r="A5" s="1" t="s">
        <v>14</v>
      </c>
      <c r="B5" s="1" t="s">
        <v>15</v>
      </c>
    </row>
    <row r="6" spans="1:10" x14ac:dyDescent="0.3">
      <c r="A6" s="1" t="s">
        <v>14</v>
      </c>
      <c r="B6" s="1" t="s">
        <v>15</v>
      </c>
    </row>
    <row r="7" spans="1:10" x14ac:dyDescent="0.3">
      <c r="A7" s="1" t="s">
        <v>14</v>
      </c>
      <c r="B7" s="1" t="s">
        <v>15</v>
      </c>
    </row>
    <row r="8" spans="1:10" x14ac:dyDescent="0.3">
      <c r="A8" s="1" t="s">
        <v>14</v>
      </c>
      <c r="B8" s="1" t="s">
        <v>15</v>
      </c>
    </row>
    <row r="9" spans="1:10" x14ac:dyDescent="0.3">
      <c r="A9" s="1" t="s">
        <v>14</v>
      </c>
      <c r="B9" s="1" t="s">
        <v>15</v>
      </c>
      <c r="E9" s="5" t="s">
        <v>19</v>
      </c>
      <c r="F9" s="5" t="s">
        <v>9</v>
      </c>
    </row>
    <row r="10" spans="1:10" x14ac:dyDescent="0.3">
      <c r="A10" s="1" t="s">
        <v>14</v>
      </c>
      <c r="B10" s="1" t="s">
        <v>15</v>
      </c>
      <c r="E10" s="5" t="s">
        <v>7</v>
      </c>
      <c r="F10" t="s">
        <v>16</v>
      </c>
      <c r="G10" t="s">
        <v>15</v>
      </c>
      <c r="H10" t="s">
        <v>17</v>
      </c>
      <c r="I10" t="s">
        <v>8</v>
      </c>
      <c r="J10" s="8"/>
    </row>
    <row r="11" spans="1:10" x14ac:dyDescent="0.3">
      <c r="A11" s="1" t="s">
        <v>14</v>
      </c>
      <c r="B11" s="1" t="s">
        <v>15</v>
      </c>
      <c r="E11" s="6" t="s">
        <v>18</v>
      </c>
      <c r="F11">
        <v>7</v>
      </c>
      <c r="G11">
        <v>18</v>
      </c>
      <c r="H11">
        <v>15</v>
      </c>
      <c r="I11">
        <v>40</v>
      </c>
    </row>
    <row r="12" spans="1:10" x14ac:dyDescent="0.3">
      <c r="A12" s="1" t="s">
        <v>14</v>
      </c>
      <c r="B12" s="1" t="s">
        <v>15</v>
      </c>
      <c r="E12" s="6" t="s">
        <v>14</v>
      </c>
      <c r="F12">
        <v>8</v>
      </c>
      <c r="G12">
        <v>12</v>
      </c>
      <c r="H12">
        <v>10</v>
      </c>
      <c r="I12">
        <v>30</v>
      </c>
    </row>
    <row r="13" spans="1:10" x14ac:dyDescent="0.3">
      <c r="A13" s="1" t="s">
        <v>14</v>
      </c>
      <c r="B13" s="1" t="s">
        <v>15</v>
      </c>
      <c r="E13" s="6" t="s">
        <v>8</v>
      </c>
      <c r="F13">
        <v>15</v>
      </c>
      <c r="G13">
        <v>30</v>
      </c>
      <c r="H13">
        <v>25</v>
      </c>
      <c r="I13">
        <v>70</v>
      </c>
    </row>
    <row r="14" spans="1:10" x14ac:dyDescent="0.3">
      <c r="A14" s="1" t="s">
        <v>14</v>
      </c>
      <c r="B14" s="1" t="s">
        <v>16</v>
      </c>
    </row>
    <row r="15" spans="1:10" x14ac:dyDescent="0.3">
      <c r="A15" s="1" t="s">
        <v>14</v>
      </c>
      <c r="B15" s="1" t="s">
        <v>16</v>
      </c>
    </row>
    <row r="16" spans="1:10" x14ac:dyDescent="0.3">
      <c r="A16" s="1" t="s">
        <v>14</v>
      </c>
      <c r="B16" s="1" t="s">
        <v>16</v>
      </c>
      <c r="E16" s="9" t="s">
        <v>12</v>
      </c>
      <c r="F16" s="9" t="s">
        <v>16</v>
      </c>
      <c r="G16" s="9" t="s">
        <v>15</v>
      </c>
      <c r="H16" s="9" t="s">
        <v>20</v>
      </c>
    </row>
    <row r="17" spans="1:8" x14ac:dyDescent="0.3">
      <c r="A17" s="1" t="s">
        <v>14</v>
      </c>
      <c r="B17" s="1" t="s">
        <v>16</v>
      </c>
      <c r="E17" s="10" t="s">
        <v>18</v>
      </c>
      <c r="F17" s="11">
        <f>(GETPIVOTDATA("Music Streaming App",$E$9,"Gender","Female")*GETPIVOTDATA("Music Streaming App",$E$9,"Music Streaming App","Gaana"))/GETPIVOTDATA("Music Streaming App",$E$9)</f>
        <v>8.5714285714285712</v>
      </c>
      <c r="G17" s="11">
        <f>(GETPIVOTDATA("Music Streaming App",$E$9,"Music Streaming App","Spotify")*GETPIVOTDATA("Music Streaming App",$E$9,"Gender","Female"))/GETPIVOTDATA("Music Streaming App",$E$9)</f>
        <v>17.142857142857142</v>
      </c>
      <c r="H17" s="11">
        <f>(GETPIVOTDATA("Music Streaming App",$E$9,"Gender","Female")*GETPIVOTDATA("Music Streaming App",$E$9,"Music Streaming App","YouTube Music"))/GETPIVOTDATA("Music Streaming App",$E$9)</f>
        <v>14.285714285714286</v>
      </c>
    </row>
    <row r="18" spans="1:8" x14ac:dyDescent="0.3">
      <c r="A18" s="1" t="s">
        <v>14</v>
      </c>
      <c r="B18" s="1" t="s">
        <v>16</v>
      </c>
      <c r="E18" s="10" t="s">
        <v>14</v>
      </c>
      <c r="F18" s="11">
        <f>(GETPIVOTDATA("Music Streaming App",$E$9,"Music Streaming App","Gaana")*GETPIVOTDATA("Music Streaming App",$E$9,"Gender","Male"))/GETPIVOTDATA("Music Streaming App",$E$9)</f>
        <v>6.4285714285714288</v>
      </c>
      <c r="G18" s="11">
        <f>(GETPIVOTDATA("Music Streaming App",$E$9,"Music Streaming App","Spotify")*GETPIVOTDATA("Music Streaming App",$E$9,"Gender","Male"))/GETPIVOTDATA("Music Streaming App",$E$9)</f>
        <v>12.857142857142858</v>
      </c>
      <c r="H18" s="11">
        <f>(GETPIVOTDATA("Music Streaming App",$E$9,"Music Streaming App","YouTube Music")*GETPIVOTDATA("Music Streaming App",$E$9,"Gender","Male"))/GETPIVOTDATA("Music Streaming App",$E$9)</f>
        <v>10.714285714285714</v>
      </c>
    </row>
    <row r="19" spans="1:8" x14ac:dyDescent="0.3">
      <c r="A19" s="1" t="s">
        <v>14</v>
      </c>
      <c r="B19" s="1" t="s">
        <v>16</v>
      </c>
    </row>
    <row r="20" spans="1:8" x14ac:dyDescent="0.3">
      <c r="A20" s="1" t="s">
        <v>14</v>
      </c>
      <c r="B20" s="1" t="s">
        <v>16</v>
      </c>
    </row>
    <row r="21" spans="1:8" x14ac:dyDescent="0.3">
      <c r="A21" s="1" t="s">
        <v>14</v>
      </c>
      <c r="B21" s="1" t="s">
        <v>16</v>
      </c>
    </row>
    <row r="22" spans="1:8" x14ac:dyDescent="0.3">
      <c r="A22" s="1" t="s">
        <v>14</v>
      </c>
      <c r="B22" s="1" t="s">
        <v>17</v>
      </c>
    </row>
    <row r="23" spans="1:8" x14ac:dyDescent="0.3">
      <c r="A23" s="1" t="s">
        <v>14</v>
      </c>
      <c r="B23" s="1" t="s">
        <v>17</v>
      </c>
    </row>
    <row r="24" spans="1:8" x14ac:dyDescent="0.3">
      <c r="A24" s="1" t="s">
        <v>14</v>
      </c>
      <c r="B24" s="1" t="s">
        <v>17</v>
      </c>
    </row>
    <row r="25" spans="1:8" x14ac:dyDescent="0.3">
      <c r="A25" s="1" t="s">
        <v>14</v>
      </c>
      <c r="B25" s="1" t="s">
        <v>17</v>
      </c>
    </row>
    <row r="26" spans="1:8" x14ac:dyDescent="0.3">
      <c r="A26" s="1" t="s">
        <v>14</v>
      </c>
      <c r="B26" s="1" t="s">
        <v>17</v>
      </c>
    </row>
    <row r="27" spans="1:8" x14ac:dyDescent="0.3">
      <c r="A27" s="1" t="s">
        <v>14</v>
      </c>
      <c r="B27" s="1" t="s">
        <v>17</v>
      </c>
    </row>
    <row r="28" spans="1:8" x14ac:dyDescent="0.3">
      <c r="A28" s="1" t="s">
        <v>14</v>
      </c>
      <c r="B28" s="1" t="s">
        <v>17</v>
      </c>
    </row>
    <row r="29" spans="1:8" x14ac:dyDescent="0.3">
      <c r="A29" s="1" t="s">
        <v>14</v>
      </c>
      <c r="B29" s="1" t="s">
        <v>17</v>
      </c>
    </row>
    <row r="30" spans="1:8" x14ac:dyDescent="0.3">
      <c r="A30" s="1" t="s">
        <v>14</v>
      </c>
      <c r="B30" s="1" t="s">
        <v>17</v>
      </c>
    </row>
    <row r="31" spans="1:8" x14ac:dyDescent="0.3">
      <c r="A31" s="1" t="s">
        <v>14</v>
      </c>
      <c r="B31" s="1" t="s">
        <v>17</v>
      </c>
    </row>
    <row r="32" spans="1:8" x14ac:dyDescent="0.3">
      <c r="A32" s="1" t="s">
        <v>18</v>
      </c>
      <c r="B32" s="1" t="s">
        <v>15</v>
      </c>
    </row>
    <row r="33" spans="1:2" x14ac:dyDescent="0.3">
      <c r="A33" s="1" t="s">
        <v>18</v>
      </c>
      <c r="B33" s="1" t="s">
        <v>15</v>
      </c>
    </row>
    <row r="34" spans="1:2" x14ac:dyDescent="0.3">
      <c r="A34" s="1" t="s">
        <v>18</v>
      </c>
      <c r="B34" s="1" t="s">
        <v>15</v>
      </c>
    </row>
    <row r="35" spans="1:2" x14ac:dyDescent="0.3">
      <c r="A35" s="1" t="s">
        <v>18</v>
      </c>
      <c r="B35" s="1" t="s">
        <v>15</v>
      </c>
    </row>
    <row r="36" spans="1:2" x14ac:dyDescent="0.3">
      <c r="A36" s="1" t="s">
        <v>18</v>
      </c>
      <c r="B36" s="1" t="s">
        <v>15</v>
      </c>
    </row>
    <row r="37" spans="1:2" x14ac:dyDescent="0.3">
      <c r="A37" s="1" t="s">
        <v>18</v>
      </c>
      <c r="B37" s="1" t="s">
        <v>15</v>
      </c>
    </row>
    <row r="38" spans="1:2" x14ac:dyDescent="0.3">
      <c r="A38" s="1" t="s">
        <v>18</v>
      </c>
      <c r="B38" s="1" t="s">
        <v>15</v>
      </c>
    </row>
    <row r="39" spans="1:2" x14ac:dyDescent="0.3">
      <c r="A39" s="1" t="s">
        <v>18</v>
      </c>
      <c r="B39" s="1" t="s">
        <v>15</v>
      </c>
    </row>
    <row r="40" spans="1:2" x14ac:dyDescent="0.3">
      <c r="A40" s="1" t="s">
        <v>18</v>
      </c>
      <c r="B40" s="1" t="s">
        <v>15</v>
      </c>
    </row>
    <row r="41" spans="1:2" x14ac:dyDescent="0.3">
      <c r="A41" s="1" t="s">
        <v>18</v>
      </c>
      <c r="B41" s="1" t="s">
        <v>15</v>
      </c>
    </row>
    <row r="42" spans="1:2" x14ac:dyDescent="0.3">
      <c r="A42" s="1" t="s">
        <v>18</v>
      </c>
      <c r="B42" s="1" t="s">
        <v>15</v>
      </c>
    </row>
    <row r="43" spans="1:2" x14ac:dyDescent="0.3">
      <c r="A43" s="1" t="s">
        <v>18</v>
      </c>
      <c r="B43" s="1" t="s">
        <v>15</v>
      </c>
    </row>
    <row r="44" spans="1:2" x14ac:dyDescent="0.3">
      <c r="A44" s="1" t="s">
        <v>18</v>
      </c>
      <c r="B44" s="1" t="s">
        <v>15</v>
      </c>
    </row>
    <row r="45" spans="1:2" x14ac:dyDescent="0.3">
      <c r="A45" s="1" t="s">
        <v>18</v>
      </c>
      <c r="B45" s="1" t="s">
        <v>15</v>
      </c>
    </row>
    <row r="46" spans="1:2" x14ac:dyDescent="0.3">
      <c r="A46" s="1" t="s">
        <v>18</v>
      </c>
      <c r="B46" s="1" t="s">
        <v>15</v>
      </c>
    </row>
    <row r="47" spans="1:2" x14ac:dyDescent="0.3">
      <c r="A47" s="1" t="s">
        <v>18</v>
      </c>
      <c r="B47" s="1" t="s">
        <v>15</v>
      </c>
    </row>
    <row r="48" spans="1:2" x14ac:dyDescent="0.3">
      <c r="A48" s="1" t="s">
        <v>18</v>
      </c>
      <c r="B48" s="1" t="s">
        <v>15</v>
      </c>
    </row>
    <row r="49" spans="1:2" x14ac:dyDescent="0.3">
      <c r="A49" s="1" t="s">
        <v>18</v>
      </c>
      <c r="B49" s="1" t="s">
        <v>15</v>
      </c>
    </row>
    <row r="50" spans="1:2" x14ac:dyDescent="0.3">
      <c r="A50" s="1" t="s">
        <v>18</v>
      </c>
      <c r="B50" s="1" t="s">
        <v>16</v>
      </c>
    </row>
    <row r="51" spans="1:2" x14ac:dyDescent="0.3">
      <c r="A51" s="1" t="s">
        <v>18</v>
      </c>
      <c r="B51" s="1" t="s">
        <v>16</v>
      </c>
    </row>
    <row r="52" spans="1:2" x14ac:dyDescent="0.3">
      <c r="A52" s="1" t="s">
        <v>18</v>
      </c>
      <c r="B52" s="1" t="s">
        <v>16</v>
      </c>
    </row>
    <row r="53" spans="1:2" x14ac:dyDescent="0.3">
      <c r="A53" s="1" t="s">
        <v>18</v>
      </c>
      <c r="B53" s="1" t="s">
        <v>16</v>
      </c>
    </row>
    <row r="54" spans="1:2" x14ac:dyDescent="0.3">
      <c r="A54" s="1" t="s">
        <v>18</v>
      </c>
      <c r="B54" s="1" t="s">
        <v>16</v>
      </c>
    </row>
    <row r="55" spans="1:2" x14ac:dyDescent="0.3">
      <c r="A55" s="1" t="s">
        <v>18</v>
      </c>
      <c r="B55" s="1" t="s">
        <v>16</v>
      </c>
    </row>
    <row r="56" spans="1:2" x14ac:dyDescent="0.3">
      <c r="A56" s="1" t="s">
        <v>18</v>
      </c>
      <c r="B56" s="1" t="s">
        <v>16</v>
      </c>
    </row>
    <row r="57" spans="1:2" x14ac:dyDescent="0.3">
      <c r="A57" s="1" t="s">
        <v>18</v>
      </c>
      <c r="B57" s="1" t="s">
        <v>17</v>
      </c>
    </row>
    <row r="58" spans="1:2" x14ac:dyDescent="0.3">
      <c r="A58" s="1" t="s">
        <v>18</v>
      </c>
      <c r="B58" s="1" t="s">
        <v>17</v>
      </c>
    </row>
    <row r="59" spans="1:2" x14ac:dyDescent="0.3">
      <c r="A59" s="1" t="s">
        <v>18</v>
      </c>
      <c r="B59" s="1" t="s">
        <v>17</v>
      </c>
    </row>
    <row r="60" spans="1:2" x14ac:dyDescent="0.3">
      <c r="A60" s="1" t="s">
        <v>18</v>
      </c>
      <c r="B60" s="1" t="s">
        <v>17</v>
      </c>
    </row>
    <row r="61" spans="1:2" x14ac:dyDescent="0.3">
      <c r="A61" s="1" t="s">
        <v>18</v>
      </c>
      <c r="B61" s="1" t="s">
        <v>17</v>
      </c>
    </row>
    <row r="62" spans="1:2" x14ac:dyDescent="0.3">
      <c r="A62" s="1" t="s">
        <v>18</v>
      </c>
      <c r="B62" s="1" t="s">
        <v>17</v>
      </c>
    </row>
    <row r="63" spans="1:2" x14ac:dyDescent="0.3">
      <c r="A63" s="1" t="s">
        <v>18</v>
      </c>
      <c r="B63" s="1" t="s">
        <v>17</v>
      </c>
    </row>
    <row r="64" spans="1:2" x14ac:dyDescent="0.3">
      <c r="A64" s="1" t="s">
        <v>18</v>
      </c>
      <c r="B64" s="1" t="s">
        <v>17</v>
      </c>
    </row>
    <row r="65" spans="1:2" x14ac:dyDescent="0.3">
      <c r="A65" s="1" t="s">
        <v>18</v>
      </c>
      <c r="B65" s="1" t="s">
        <v>17</v>
      </c>
    </row>
    <row r="66" spans="1:2" x14ac:dyDescent="0.3">
      <c r="A66" s="1" t="s">
        <v>18</v>
      </c>
      <c r="B66" s="1" t="s">
        <v>17</v>
      </c>
    </row>
    <row r="67" spans="1:2" x14ac:dyDescent="0.3">
      <c r="A67" s="1" t="s">
        <v>18</v>
      </c>
      <c r="B67" s="1" t="s">
        <v>17</v>
      </c>
    </row>
    <row r="68" spans="1:2" x14ac:dyDescent="0.3">
      <c r="A68" s="1" t="s">
        <v>18</v>
      </c>
      <c r="B68" s="1" t="s">
        <v>17</v>
      </c>
    </row>
    <row r="69" spans="1:2" x14ac:dyDescent="0.3">
      <c r="A69" s="1" t="s">
        <v>18</v>
      </c>
      <c r="B69" s="1" t="s">
        <v>17</v>
      </c>
    </row>
    <row r="70" spans="1:2" x14ac:dyDescent="0.3">
      <c r="A70" s="1" t="s">
        <v>18</v>
      </c>
      <c r="B70" s="1" t="s">
        <v>17</v>
      </c>
    </row>
    <row r="71" spans="1:2" x14ac:dyDescent="0.3">
      <c r="A71" s="1" t="s">
        <v>18</v>
      </c>
      <c r="B7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09F3-BDAE-40A3-9F1D-0E29B71DD7C7}">
  <dimension ref="B2:P12"/>
  <sheetViews>
    <sheetView workbookViewId="0">
      <selection activeCell="I23" sqref="I23"/>
    </sheetView>
  </sheetViews>
  <sheetFormatPr defaultRowHeight="14.4" x14ac:dyDescent="0.3"/>
  <cols>
    <col min="2" max="2" width="18.77734375" bestFit="1" customWidth="1"/>
    <col min="3" max="3" width="15.5546875" bestFit="1" customWidth="1"/>
    <col min="4" max="4" width="6.33203125" bestFit="1" customWidth="1"/>
    <col min="5" max="5" width="8.21875" bestFit="1" customWidth="1"/>
    <col min="6" max="6" width="10.5546875" bestFit="1" customWidth="1"/>
    <col min="11" max="11" width="17.33203125" bestFit="1" customWidth="1"/>
    <col min="14" max="14" width="13.88671875" bestFit="1" customWidth="1"/>
  </cols>
  <sheetData>
    <row r="2" spans="2:16" x14ac:dyDescent="0.3">
      <c r="B2" s="5" t="s">
        <v>10</v>
      </c>
      <c r="C2" s="5" t="s">
        <v>9</v>
      </c>
    </row>
    <row r="3" spans="2:16" x14ac:dyDescent="0.3">
      <c r="B3" s="5" t="s">
        <v>7</v>
      </c>
      <c r="C3" t="s">
        <v>3</v>
      </c>
      <c r="D3" t="s">
        <v>1</v>
      </c>
      <c r="E3" t="s">
        <v>2</v>
      </c>
      <c r="F3" t="s">
        <v>8</v>
      </c>
    </row>
    <row r="4" spans="2:16" x14ac:dyDescent="0.3">
      <c r="B4" s="6" t="s">
        <v>5</v>
      </c>
      <c r="C4">
        <v>2</v>
      </c>
      <c r="D4">
        <v>2</v>
      </c>
      <c r="E4">
        <v>4</v>
      </c>
      <c r="F4">
        <v>8</v>
      </c>
    </row>
    <row r="5" spans="2:16" x14ac:dyDescent="0.3">
      <c r="B5" s="6" t="s">
        <v>6</v>
      </c>
      <c r="C5">
        <v>1</v>
      </c>
      <c r="D5">
        <v>1</v>
      </c>
      <c r="E5">
        <v>1</v>
      </c>
      <c r="F5">
        <v>3</v>
      </c>
      <c r="K5" s="17" t="s">
        <v>22</v>
      </c>
      <c r="L5" s="18">
        <f>_xlfn.CHISQ.TEST($C$4:$E$6,$C$10:$E$12)</f>
        <v>0.92387665501829408</v>
      </c>
    </row>
    <row r="6" spans="2:16" x14ac:dyDescent="0.3">
      <c r="B6" s="6" t="s">
        <v>4</v>
      </c>
      <c r="C6">
        <v>2</v>
      </c>
      <c r="D6">
        <v>4</v>
      </c>
      <c r="E6">
        <v>3</v>
      </c>
      <c r="F6">
        <v>9</v>
      </c>
      <c r="K6" s="17" t="s">
        <v>23</v>
      </c>
      <c r="L6" s="18">
        <f>(3-1)*(3-1)</f>
        <v>4</v>
      </c>
      <c r="N6" s="1" t="s">
        <v>22</v>
      </c>
      <c r="O6" s="13"/>
      <c r="P6" s="1" t="s">
        <v>26</v>
      </c>
    </row>
    <row r="7" spans="2:16" x14ac:dyDescent="0.3">
      <c r="B7" s="6" t="s">
        <v>8</v>
      </c>
      <c r="C7">
        <v>5</v>
      </c>
      <c r="D7">
        <v>7</v>
      </c>
      <c r="E7">
        <v>8</v>
      </c>
      <c r="F7">
        <v>20</v>
      </c>
      <c r="K7" s="17" t="s">
        <v>24</v>
      </c>
      <c r="L7" s="18">
        <f>_xlfn.CHISQ.INV($L$5,$L$6)</f>
        <v>8.4595340504514187</v>
      </c>
      <c r="N7" s="19">
        <f>_xlfn.CHISQ.TEST($C$4:$E$6,$C$10:$E$12)</f>
        <v>0.92387665501829408</v>
      </c>
      <c r="O7" s="1" t="s">
        <v>27</v>
      </c>
      <c r="P7" s="1">
        <v>0.05</v>
      </c>
    </row>
    <row r="8" spans="2:16" x14ac:dyDescent="0.3">
      <c r="K8" s="17" t="s">
        <v>25</v>
      </c>
      <c r="L8" s="18">
        <f>_xlfn.CHISQ.INV.RT(0.05,4)</f>
        <v>9.4877290367811575</v>
      </c>
    </row>
    <row r="9" spans="2:16" x14ac:dyDescent="0.3">
      <c r="B9" s="9" t="s">
        <v>0</v>
      </c>
      <c r="C9" s="14" t="s">
        <v>21</v>
      </c>
      <c r="D9" s="14" t="s">
        <v>1</v>
      </c>
      <c r="E9" s="14" t="s">
        <v>2</v>
      </c>
      <c r="N9" s="1" t="s">
        <v>28</v>
      </c>
      <c r="O9" s="13"/>
      <c r="P9" s="1" t="s">
        <v>29</v>
      </c>
    </row>
    <row r="10" spans="2:16" x14ac:dyDescent="0.3">
      <c r="B10" s="15" t="s">
        <v>5</v>
      </c>
      <c r="C10" s="13">
        <f>GETPIVOTDATA("Delivery App",$B$2,"Payment Method","Credit Card")*GETPIVOTDATA("Delivery App",$B$2,"Delivery App","Swiggy")/20</f>
        <v>2</v>
      </c>
      <c r="D10" s="13">
        <f>GETPIVOTDATA("Delivery App",$B$2,"Payment Method","Paytm")*GETPIVOTDATA("Delivery App",$B$2,"Delivery App","Swiggy")/20</f>
        <v>2.8</v>
      </c>
      <c r="E10" s="13">
        <f>GETPIVOTDATA("Delivery App",$B$2,"Payment Method","PhonePe")*GETPIVOTDATA("Delivery App",$B$2,"Delivery App","Swiggy")/20</f>
        <v>3.2</v>
      </c>
      <c r="N10" s="19">
        <f>_xlfn.CHISQ.INV($L$5,$L$6)</f>
        <v>8.4595340504514187</v>
      </c>
      <c r="O10" s="1" t="s">
        <v>30</v>
      </c>
      <c r="P10" s="19">
        <f>_xlfn.CHISQ.INV.RT(0.05,4)</f>
        <v>9.4877290367811575</v>
      </c>
    </row>
    <row r="11" spans="2:16" x14ac:dyDescent="0.3">
      <c r="B11" s="15" t="s">
        <v>6</v>
      </c>
      <c r="C11" s="13">
        <f>GETPIVOTDATA("Delivery App",$B$2,"Payment Method","Credit Card")*GETPIVOTDATA("Delivery App",$B$2,"Delivery App","Uber Eats")/20</f>
        <v>0.75</v>
      </c>
      <c r="D11" s="13">
        <f>GETPIVOTDATA("Delivery App",$B$2,"Payment Method","Paytm")*GETPIVOTDATA("Delivery App",$B$2,"Delivery App","Uber Eats")/20</f>
        <v>1.05</v>
      </c>
      <c r="E11" s="13">
        <f>GETPIVOTDATA("Delivery App",$B$2,"Payment Method","PhonePe")*GETPIVOTDATA("Delivery App",$B$2,"Delivery App","Uber Eats")/20</f>
        <v>1.2</v>
      </c>
    </row>
    <row r="12" spans="2:16" x14ac:dyDescent="0.3">
      <c r="B12" s="15" t="s">
        <v>4</v>
      </c>
      <c r="C12" s="13">
        <f>GETPIVOTDATA("Delivery App",$B$2,"Payment Method","Credit Card")*GETPIVOTDATA("Delivery App",$B$2,"Delivery App","Zomato")/20</f>
        <v>2.25</v>
      </c>
      <c r="D12" s="13">
        <f>GETPIVOTDATA("Delivery App",$B$2,"Payment Method","Paytm")*GETPIVOTDATA("Delivery App",$B$2,"Delivery App","Zomato")/20</f>
        <v>3.15</v>
      </c>
      <c r="E12" s="13">
        <f>GETPIVOTDATA("Delivery App",$B$2,"Payment Method","PhonePe")*GETPIVOTDATA("Delivery App",$B$2,"Delivery App","Zomato")/20</f>
        <v>3.6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9CDB-5308-4D57-AEF3-0FAA7C5A7746}">
  <dimension ref="A1:M10"/>
  <sheetViews>
    <sheetView workbookViewId="0">
      <selection activeCell="K23" sqref="K23"/>
    </sheetView>
  </sheetViews>
  <sheetFormatPr defaultRowHeight="14.4" x14ac:dyDescent="0.3"/>
  <cols>
    <col min="2" max="2" width="11.109375" bestFit="1" customWidth="1"/>
    <col min="4" max="4" width="11.109375" bestFit="1" customWidth="1"/>
    <col min="5" max="5" width="8.77734375" bestFit="1" customWidth="1"/>
    <col min="8" max="8" width="18.109375" bestFit="1" customWidth="1"/>
    <col min="11" max="11" width="13.88671875" bestFit="1" customWidth="1"/>
  </cols>
  <sheetData>
    <row r="1" spans="1:13" x14ac:dyDescent="0.3">
      <c r="A1" s="14" t="s">
        <v>31</v>
      </c>
      <c r="B1" s="14" t="s">
        <v>38</v>
      </c>
      <c r="C1" s="14" t="s">
        <v>32</v>
      </c>
      <c r="D1" s="14" t="s">
        <v>33</v>
      </c>
      <c r="E1" s="14" t="s">
        <v>34</v>
      </c>
    </row>
    <row r="2" spans="1:13" x14ac:dyDescent="0.3">
      <c r="A2" s="13" t="s">
        <v>35</v>
      </c>
      <c r="B2" s="13">
        <v>18</v>
      </c>
      <c r="C2" s="13">
        <v>0.7</v>
      </c>
      <c r="D2" s="13">
        <f>$C2*$B$4</f>
        <v>21</v>
      </c>
      <c r="E2" s="13">
        <f>($B2-$D2)^2/$D2</f>
        <v>0.42857142857142855</v>
      </c>
    </row>
    <row r="3" spans="1:13" x14ac:dyDescent="0.3">
      <c r="A3" s="13" t="s">
        <v>36</v>
      </c>
      <c r="B3" s="13">
        <v>12</v>
      </c>
      <c r="C3" s="13">
        <v>0.3</v>
      </c>
      <c r="D3" s="13">
        <f>$C3*$B$4</f>
        <v>9</v>
      </c>
      <c r="E3" s="13">
        <f>($B3-$D3)^2/$D3</f>
        <v>1</v>
      </c>
    </row>
    <row r="4" spans="1:13" x14ac:dyDescent="0.3">
      <c r="A4" s="12" t="s">
        <v>37</v>
      </c>
      <c r="B4" s="12">
        <v>30</v>
      </c>
      <c r="C4" s="12">
        <f>SUM(C2:C3)</f>
        <v>1</v>
      </c>
      <c r="D4" s="12">
        <f>SUM(D2:D3)</f>
        <v>30</v>
      </c>
      <c r="E4" s="16">
        <f>SUM(E2:E3)</f>
        <v>1.4285714285714286</v>
      </c>
      <c r="H4" s="17" t="s">
        <v>24</v>
      </c>
      <c r="I4" s="13">
        <f>SUM($E$2:$E$3)</f>
        <v>1.4285714285714286</v>
      </c>
    </row>
    <row r="5" spans="1:13" x14ac:dyDescent="0.3">
      <c r="H5" s="17" t="s">
        <v>23</v>
      </c>
      <c r="I5" s="13">
        <f>COUNT($B$2:$B$3)-1</f>
        <v>1</v>
      </c>
    </row>
    <row r="6" spans="1:13" x14ac:dyDescent="0.3">
      <c r="H6" s="17" t="s">
        <v>22</v>
      </c>
      <c r="I6" s="13">
        <f>_xlfn.CHISQ.DIST.RT($I$4,$I$5)</f>
        <v>0.23199772362873411</v>
      </c>
      <c r="K6" s="1" t="s">
        <v>22</v>
      </c>
      <c r="L6" s="13"/>
      <c r="M6" s="1" t="s">
        <v>26</v>
      </c>
    </row>
    <row r="7" spans="1:13" x14ac:dyDescent="0.3">
      <c r="H7" s="17" t="s">
        <v>25</v>
      </c>
      <c r="I7" s="13">
        <f>_xlfn.CHISQ.INV.RT(0.05,$I$5)</f>
        <v>3.8414588206941236</v>
      </c>
      <c r="K7" s="1">
        <f>_xlfn.CHISQ.DIST.RT($I$4,$I$5)</f>
        <v>0.23199772362873411</v>
      </c>
      <c r="L7" s="1" t="s">
        <v>27</v>
      </c>
      <c r="M7" s="1">
        <v>0.05</v>
      </c>
    </row>
    <row r="9" spans="1:13" x14ac:dyDescent="0.3">
      <c r="K9" s="1" t="s">
        <v>28</v>
      </c>
      <c r="L9" s="13"/>
      <c r="M9" s="1" t="s">
        <v>29</v>
      </c>
    </row>
    <row r="10" spans="1:13" x14ac:dyDescent="0.3">
      <c r="K10" s="1">
        <f>SUM($E$2:$E$3)</f>
        <v>1.4285714285714286</v>
      </c>
      <c r="L10" s="1" t="s">
        <v>30</v>
      </c>
      <c r="M10" s="1">
        <f>_xlfn.CHISQ.INV.RT(0.05,$I$5)</f>
        <v>3.8414588206941236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2026-08-19T03:11:21Z</dcterms:created>
  <dcterms:modified xsi:type="dcterms:W3CDTF">2026-08-20T14:19:00Z</dcterms:modified>
</cp:coreProperties>
</file>