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121" documentId="8_{B0050FBE-D581-416A-BA1B-74A75903758E}" xr6:coauthVersionLast="47" xr6:coauthVersionMax="47" xr10:uidLastSave="{547AE061-4133-40FE-8B36-642729166BE7}"/>
  <bookViews>
    <workbookView xWindow="-108" yWindow="-108" windowWidth="23256" windowHeight="12456" xr2:uid="{77982187-7235-44D3-BE3D-762BE1E78C88}"/>
  </bookViews>
  <sheets>
    <sheet name="1" sheetId="1" r:id="rId1"/>
    <sheet name="2" sheetId="2" r:id="rId2"/>
    <sheet name="3" sheetId="3" r:id="rId3"/>
    <sheet name="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K7" i="6"/>
  <c r="L7" i="6"/>
  <c r="M7" i="6"/>
  <c r="N7" i="6"/>
  <c r="O7" i="6"/>
  <c r="P7" i="6"/>
  <c r="Q7" i="6"/>
  <c r="K6" i="6"/>
  <c r="L6" i="6"/>
  <c r="M6" i="6"/>
  <c r="N6" i="6"/>
  <c r="O6" i="6"/>
  <c r="P6" i="6"/>
  <c r="Q6" i="6"/>
  <c r="J6" i="6"/>
  <c r="K3" i="6"/>
  <c r="L3" i="6"/>
  <c r="M3" i="6"/>
  <c r="N3" i="6"/>
  <c r="O3" i="6"/>
  <c r="P3" i="6"/>
  <c r="Q3" i="6"/>
  <c r="N2" i="6"/>
  <c r="O2" i="6"/>
  <c r="J3" i="6"/>
  <c r="J1" i="6" a="1"/>
  <c r="J1" i="6" s="1"/>
  <c r="J5" i="6" s="1"/>
  <c r="Q4" i="6" l="1"/>
  <c r="Q5" i="6"/>
  <c r="Q2" i="6"/>
  <c r="P4" i="6"/>
  <c r="P5" i="6"/>
  <c r="P2" i="6"/>
  <c r="O4" i="6"/>
  <c r="O5" i="6"/>
  <c r="N4" i="6"/>
  <c r="N5" i="6"/>
  <c r="L4" i="6"/>
  <c r="L5" i="6"/>
  <c r="M4" i="6"/>
  <c r="M5" i="6"/>
  <c r="M2" i="6"/>
  <c r="L2" i="6"/>
  <c r="K4" i="6"/>
  <c r="K5" i="6"/>
  <c r="J2" i="6"/>
  <c r="K2" i="6"/>
  <c r="J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<sst xmlns="http://schemas.openxmlformats.org/spreadsheetml/2006/main" count="94" uniqueCount="68">
  <si>
    <t>APPS</t>
  </si>
  <si>
    <t>Instagram</t>
  </si>
  <si>
    <t>Flipkart</t>
  </si>
  <si>
    <t>IRCTC</t>
  </si>
  <si>
    <t>DATA FIELD</t>
  </si>
  <si>
    <t>Payment Method (Meta Pay)</t>
  </si>
  <si>
    <t>Number of Likes</t>
  </si>
  <si>
    <t>Close Friends List Status</t>
  </si>
  <si>
    <t>Product Review Stars</t>
  </si>
  <si>
    <t>Order Status</t>
  </si>
  <si>
    <t>Item Price</t>
  </si>
  <si>
    <t>Seat Class</t>
  </si>
  <si>
    <t>Train Departure Time</t>
  </si>
  <si>
    <t>MEASUREMENT SCALE</t>
  </si>
  <si>
    <t>Nominal</t>
  </si>
  <si>
    <t>Ratio</t>
  </si>
  <si>
    <t>Ordinal</t>
  </si>
  <si>
    <t>Interval</t>
  </si>
  <si>
    <t>Categorical labels (e.g., UPI, Credit Card) with no natural ordering.</t>
  </si>
  <si>
    <t>REASONING</t>
  </si>
  <si>
    <t>Numeric count with a true absolute zero (0 likes means absence of likes).</t>
  </si>
  <si>
    <t>Categorical data with no serious ranking because close friends list can be in any order.</t>
  </si>
  <si>
    <t>Star ratings (1 to 5 stars) have a clear order, but the interval between stars isn't strictly quantifiable.</t>
  </si>
  <si>
    <t>On any item price the value in the end if zero means something ($0 means means free).</t>
  </si>
  <si>
    <t>Ranked service levels (3E &lt; 3A &lt; 2A &lt; 1A) based on luxury and price hierarchy.</t>
  </si>
  <si>
    <t>Sequential stages (Placed &gt; Shipped &gt; Out for Delivery &gt; Delivered) follow a natural progression.</t>
  </si>
  <si>
    <t>Measured on a clock scale (e.g., 14:30). Differences are meaningful, but zero (00:00) is arbitrary, not the absence of time.</t>
  </si>
  <si>
    <t>Order_ID</t>
  </si>
  <si>
    <t>Customer_City</t>
  </si>
  <si>
    <t>Payment_Mode</t>
  </si>
  <si>
    <t>Order_Status</t>
  </si>
  <si>
    <t>Product_Rating</t>
  </si>
  <si>
    <t>Order_Date</t>
  </si>
  <si>
    <t>Item_Price (₹)</t>
  </si>
  <si>
    <t>Quantity</t>
  </si>
  <si>
    <t>OD10293841</t>
  </si>
  <si>
    <t>Ahmedabad</t>
  </si>
  <si>
    <t>UPI</t>
  </si>
  <si>
    <t>Delivered</t>
  </si>
  <si>
    <t>5 Star</t>
  </si>
  <si>
    <t>OD10293842</t>
  </si>
  <si>
    <t>Surat</t>
  </si>
  <si>
    <t>Credit Card</t>
  </si>
  <si>
    <t>Shipped</t>
  </si>
  <si>
    <t>4 Star</t>
  </si>
  <si>
    <t>OD10293843</t>
  </si>
  <si>
    <t>Vadodara</t>
  </si>
  <si>
    <t>Cash on Delivery</t>
  </si>
  <si>
    <t>Placed</t>
  </si>
  <si>
    <t>3 Star</t>
  </si>
  <si>
    <t>OD10293844</t>
  </si>
  <si>
    <t>Rajkot</t>
  </si>
  <si>
    <t>NetBanking</t>
  </si>
  <si>
    <t>Out for Delivery</t>
  </si>
  <si>
    <t>OD10293845</t>
  </si>
  <si>
    <t>Wallet</t>
  </si>
  <si>
    <t>2 Star</t>
  </si>
  <si>
    <t>OD10293846</t>
  </si>
  <si>
    <t>Mumbai</t>
  </si>
  <si>
    <t>Cancelled</t>
  </si>
  <si>
    <t>1 Star</t>
  </si>
  <si>
    <t>OD10293847</t>
  </si>
  <si>
    <t>EMI</t>
  </si>
  <si>
    <t>OD10293848</t>
  </si>
  <si>
    <t>Gandhinagar</t>
  </si>
  <si>
    <t>Returned</t>
  </si>
  <si>
    <t>OD10293849</t>
  </si>
  <si>
    <t>OD10293850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</si>
</sst>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0</xdr:row>
      <xdr:rowOff>160020</xdr:rowOff>
    </xdr:from>
    <xdr:to>
      <xdr:col>21</xdr:col>
      <xdr:colOff>541020</xdr:colOff>
      <xdr:row>13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0B88D9-158A-5B55-389B-7CEA109FEF54}"/>
            </a:ext>
          </a:extLst>
        </xdr:cNvPr>
        <xdr:cNvSpPr txBox="1"/>
      </xdr:nvSpPr>
      <xdr:spPr>
        <a:xfrm>
          <a:off x="335280" y="160020"/>
          <a:ext cx="13007340" cy="231648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b="1"/>
            <a:t>Restaurant Name:</a:t>
          </a:r>
          <a:r>
            <a:rPr lang="en-US"/>
            <a:t> Categorical (Nominal) — Represents non-numeric identifiers with no implicit ranking.</a:t>
          </a:r>
        </a:p>
        <a:p>
          <a:pPr lvl="0"/>
          <a:endParaRPr lang="en-US"/>
        </a:p>
        <a:p>
          <a:pPr lvl="0"/>
          <a:r>
            <a:rPr lang="en-US" b="1"/>
            <a:t>Cuisine Type:</a:t>
          </a:r>
          <a:r>
            <a:rPr lang="en-US"/>
            <a:t> Categorical (Nominal) — Represents distinct categories with no natural order.</a:t>
          </a:r>
        </a:p>
        <a:p>
          <a:pPr lvl="0"/>
          <a:endParaRPr lang="en-US"/>
        </a:p>
        <a:p>
          <a:pPr lvl="0"/>
          <a:r>
            <a:rPr lang="en-US" b="1"/>
            <a:t>Average Cost for Two:</a:t>
          </a:r>
          <a:r>
            <a:rPr lang="en-US"/>
            <a:t> Numerical (Continuous) — Measured monetary value that can take any value within a range (or Discrete if restricted strictly to whole currency units).</a:t>
          </a:r>
        </a:p>
        <a:p>
          <a:pPr lvl="0"/>
          <a:endParaRPr lang="en-US"/>
        </a:p>
        <a:p>
          <a:pPr lvl="0"/>
          <a:r>
            <a:rPr lang="en-US" b="1"/>
            <a:t>User Rating:</a:t>
          </a:r>
          <a:r>
            <a:rPr lang="en-US"/>
            <a:t> Categorical (Ordinal) or Numerical (Discrete) — Ordinal if represented as discrete star levels (e.g., 1 to 5 stars ranking satisfaction); Continuous/Discrete numerical if treated as a pure calculated score (e.g., 4.3 out of 5.0).</a:t>
          </a:r>
        </a:p>
        <a:p>
          <a:pPr lvl="0"/>
          <a:endParaRPr lang="en-US"/>
        </a:p>
        <a:p>
          <a:pPr lvl="0"/>
          <a:r>
            <a:rPr lang="en-US" b="1"/>
            <a:t>City:</a:t>
          </a:r>
          <a:r>
            <a:rPr lang="en-US"/>
            <a:t> Categorical (Nominal) — Distinct geographic names without intrinsic ordering.</a:t>
          </a:r>
        </a:p>
        <a:p>
          <a:pPr lvl="0"/>
          <a:endParaRPr lang="en-US"/>
        </a:p>
        <a:p>
          <a:pPr lvl="0"/>
          <a:r>
            <a:rPr lang="en-US" b="1"/>
            <a:t>Open/Closed Status:</a:t>
          </a:r>
          <a:r>
            <a:rPr lang="en-US"/>
            <a:t> Categorical (Nominal) — Binary classification (Yes/No or Open/Closed).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0</xdr:row>
      <xdr:rowOff>167640</xdr:rowOff>
    </xdr:from>
    <xdr:to>
      <xdr:col>26</xdr:col>
      <xdr:colOff>388620</xdr:colOff>
      <xdr:row>7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258129-041C-5F28-F97B-B57C87A36907}"/>
            </a:ext>
          </a:extLst>
        </xdr:cNvPr>
        <xdr:cNvSpPr txBox="1"/>
      </xdr:nvSpPr>
      <xdr:spPr>
        <a:xfrm>
          <a:off x="449580" y="167640"/>
          <a:ext cx="15788640" cy="117348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(Time-Series Indicator):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timeline or calendar track.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puts all your data in order from past to present (e.g., Day 1, Day 2, Day 3). Without dates, you just have random numbers without any timeline.</a:t>
          </a:r>
          <a:r>
            <a:rPr lang="en-US">
              <a:effectLst/>
            </a:rPr>
            <a:t> </a:t>
          </a:r>
        </a:p>
        <a:p>
          <a:endParaRPr lang="en-US">
            <a:effectLst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 Count per Day (Numerical - Discrete):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actual number you count each day (e.g., 5 plays, 12 plays).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the main measurement changing over time. It's called "discrete" because you count songs in whole numbers—you can't play a song 3.5 times on a daily summary count.</a:t>
          </a:r>
          <a:r>
            <a:rPr lang="en-US">
              <a:effectLst/>
            </a:rPr>
            <a:t> </a:t>
          </a:r>
        </a:p>
        <a:p>
          <a:endParaRPr lang="en-US">
            <a:effectLst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Song Name (Categorical - Nominal):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Just the title/label of the track.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It's just a text label used to organize or filter your data. It doesn't act as a math metric or a timeline.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371A-C0E5-42DB-829B-BB6C54AAE786}">
  <dimension ref="A1"/>
  <sheetViews>
    <sheetView tabSelected="1" workbookViewId="0">
      <selection activeCell="I23" sqref="I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31D7-26CA-44C9-94A4-948AC88A5698}">
  <dimension ref="B2:E10"/>
  <sheetViews>
    <sheetView workbookViewId="0">
      <selection activeCell="E46" sqref="E46"/>
    </sheetView>
  </sheetViews>
  <sheetFormatPr defaultRowHeight="14.4" x14ac:dyDescent="0.3"/>
  <cols>
    <col min="2" max="2" width="9" bestFit="1" customWidth="1"/>
    <col min="3" max="3" width="23.33203125" bestFit="1" customWidth="1"/>
    <col min="4" max="4" width="19.33203125" bestFit="1" customWidth="1"/>
    <col min="5" max="5" width="96" customWidth="1"/>
  </cols>
  <sheetData>
    <row r="2" spans="2:5" x14ac:dyDescent="0.3">
      <c r="B2" s="2" t="s">
        <v>0</v>
      </c>
      <c r="C2" s="2" t="s">
        <v>4</v>
      </c>
      <c r="D2" s="2" t="s">
        <v>13</v>
      </c>
      <c r="E2" s="2" t="s">
        <v>19</v>
      </c>
    </row>
    <row r="3" spans="2:5" x14ac:dyDescent="0.3">
      <c r="B3" s="1" t="s">
        <v>1</v>
      </c>
      <c r="C3" s="1" t="s">
        <v>5</v>
      </c>
      <c r="D3" s="1" t="s">
        <v>14</v>
      </c>
      <c r="E3" s="3" t="s">
        <v>18</v>
      </c>
    </row>
    <row r="4" spans="2:5" x14ac:dyDescent="0.3">
      <c r="B4" s="1" t="s">
        <v>1</v>
      </c>
      <c r="C4" s="1" t="s">
        <v>6</v>
      </c>
      <c r="D4" s="1" t="s">
        <v>15</v>
      </c>
      <c r="E4" s="3" t="s">
        <v>20</v>
      </c>
    </row>
    <row r="5" spans="2:5" x14ac:dyDescent="0.3">
      <c r="B5" s="1" t="s">
        <v>1</v>
      </c>
      <c r="C5" s="1" t="s">
        <v>7</v>
      </c>
      <c r="D5" s="1" t="s">
        <v>14</v>
      </c>
      <c r="E5" s="4" t="s">
        <v>21</v>
      </c>
    </row>
    <row r="6" spans="2:5" x14ac:dyDescent="0.3">
      <c r="B6" s="1" t="s">
        <v>2</v>
      </c>
      <c r="C6" s="1" t="s">
        <v>8</v>
      </c>
      <c r="D6" s="1" t="s">
        <v>16</v>
      </c>
      <c r="E6" s="5" t="s">
        <v>22</v>
      </c>
    </row>
    <row r="7" spans="2:5" x14ac:dyDescent="0.3">
      <c r="B7" s="1" t="s">
        <v>2</v>
      </c>
      <c r="C7" s="1" t="s">
        <v>9</v>
      </c>
      <c r="D7" s="1" t="s">
        <v>16</v>
      </c>
      <c r="E7" s="5" t="s">
        <v>25</v>
      </c>
    </row>
    <row r="8" spans="2:5" x14ac:dyDescent="0.3">
      <c r="B8" s="1" t="s">
        <v>2</v>
      </c>
      <c r="C8" s="1" t="s">
        <v>10</v>
      </c>
      <c r="D8" s="1" t="s">
        <v>15</v>
      </c>
      <c r="E8" s="4" t="s">
        <v>23</v>
      </c>
    </row>
    <row r="9" spans="2:5" x14ac:dyDescent="0.3">
      <c r="B9" s="1" t="s">
        <v>3</v>
      </c>
      <c r="C9" s="1" t="s">
        <v>11</v>
      </c>
      <c r="D9" s="1" t="s">
        <v>16</v>
      </c>
      <c r="E9" s="5" t="s">
        <v>24</v>
      </c>
    </row>
    <row r="10" spans="2:5" x14ac:dyDescent="0.3">
      <c r="B10" s="1" t="s">
        <v>3</v>
      </c>
      <c r="C10" s="1" t="s">
        <v>12</v>
      </c>
      <c r="D10" s="1" t="s">
        <v>17</v>
      </c>
      <c r="E10" s="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4BD7-536A-4D10-ADD1-7D40004C22DB}">
  <dimension ref="B2:B18"/>
  <sheetViews>
    <sheetView workbookViewId="0">
      <selection activeCell="U37" sqref="U37"/>
    </sheetView>
  </sheetViews>
  <sheetFormatPr defaultRowHeight="14.4" x14ac:dyDescent="0.3"/>
  <sheetData>
    <row r="2" spans="2:2" x14ac:dyDescent="0.3">
      <c r="B2" s="6"/>
    </row>
    <row r="3" spans="2:2" x14ac:dyDescent="0.3">
      <c r="B3" s="7"/>
    </row>
    <row r="4" spans="2:2" x14ac:dyDescent="0.3">
      <c r="B4" s="8"/>
    </row>
    <row r="5" spans="2:2" x14ac:dyDescent="0.3">
      <c r="B5" s="7"/>
    </row>
    <row r="6" spans="2:2" x14ac:dyDescent="0.3">
      <c r="B6" s="8"/>
    </row>
    <row r="8" spans="2:2" x14ac:dyDescent="0.3">
      <c r="B8" s="6"/>
    </row>
    <row r="9" spans="2:2" x14ac:dyDescent="0.3">
      <c r="B9" s="7"/>
    </row>
    <row r="10" spans="2:2" x14ac:dyDescent="0.3">
      <c r="B10" s="8"/>
    </row>
    <row r="11" spans="2:2" x14ac:dyDescent="0.3">
      <c r="B11" s="7"/>
    </row>
    <row r="12" spans="2:2" x14ac:dyDescent="0.3">
      <c r="B12" s="8"/>
    </row>
    <row r="14" spans="2:2" x14ac:dyDescent="0.3">
      <c r="B14" s="6"/>
    </row>
    <row r="15" spans="2:2" x14ac:dyDescent="0.3">
      <c r="B15" s="7"/>
    </row>
    <row r="16" spans="2:2" x14ac:dyDescent="0.3">
      <c r="B16" s="8"/>
    </row>
    <row r="17" spans="2:2" x14ac:dyDescent="0.3">
      <c r="B17" s="7"/>
    </row>
    <row r="18" spans="2:2" x14ac:dyDescent="0.3">
      <c r="B18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28F4-EACC-4374-9DAA-019C27232318}">
  <dimension ref="A1:Q11"/>
  <sheetViews>
    <sheetView workbookViewId="0">
      <selection activeCell="I14" sqref="I14"/>
    </sheetView>
  </sheetViews>
  <sheetFormatPr defaultRowHeight="14.4" x14ac:dyDescent="0.3"/>
  <cols>
    <col min="1" max="1" width="11.5546875" bestFit="1" customWidth="1"/>
    <col min="2" max="2" width="12.6640625" bestFit="1" customWidth="1"/>
    <col min="3" max="3" width="14.21875" bestFit="1" customWidth="1"/>
    <col min="4" max="5" width="13.21875" bestFit="1" customWidth="1"/>
    <col min="6" max="6" width="10.21875" bestFit="1" customWidth="1"/>
    <col min="7" max="7" width="12" bestFit="1" customWidth="1"/>
    <col min="8" max="8" width="7.6640625" bestFit="1" customWidth="1"/>
    <col min="10" max="10" width="8.109375" bestFit="1" customWidth="1"/>
    <col min="11" max="11" width="12.6640625" bestFit="1" customWidth="1"/>
    <col min="12" max="12" width="13.33203125" bestFit="1" customWidth="1"/>
    <col min="13" max="13" width="11.44140625" bestFit="1" customWidth="1"/>
    <col min="14" max="14" width="13.21875" bestFit="1" customWidth="1"/>
    <col min="15" max="15" width="10.21875" bestFit="1" customWidth="1"/>
    <col min="16" max="16" width="12" bestFit="1" customWidth="1"/>
    <col min="17" max="17" width="7.6640625" bestFit="1" customWidth="1"/>
  </cols>
  <sheetData>
    <row r="1" spans="1:17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J1" s="2" t="str" cm="1">
        <f t="array" ref="J1:Q1">A1:H1</f>
        <v>Order_ID</v>
      </c>
      <c r="K1" s="2" t="str">
        <v>Customer_City</v>
      </c>
      <c r="L1" s="2" t="str">
        <v>Payment_Mode</v>
      </c>
      <c r="M1" s="2" t="str">
        <v>Order_Status</v>
      </c>
      <c r="N1" s="2" t="str">
        <v>Product_Rating</v>
      </c>
      <c r="O1" s="2" t="str">
        <v>Order_Date</v>
      </c>
      <c r="P1" s="2" t="str">
        <v>Item_Price (₹)</v>
      </c>
      <c r="Q1" s="2" t="str">
        <v>Quantity</v>
      </c>
    </row>
    <row r="2" spans="1:17" x14ac:dyDescent="0.3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>
        <v>46235</v>
      </c>
      <c r="G2" s="1">
        <v>1499</v>
      </c>
      <c r="H2" s="1">
        <v>1</v>
      </c>
      <c r="J2" s="1" t="b">
        <f>OR(ISNUMBER(SEARCH("ID",J1)),ISNUMBER(SEARCH("Code",J1)),ISNUMBER(SEARCH("PIN",J1)))</f>
        <v>1</v>
      </c>
      <c r="K2" s="1" t="b">
        <f t="shared" ref="K2:Q2" si="0">OR(ISNUMBER(SEARCH("ID",K1)),ISNUMBER(SEARCH("Code",K1)),ISNUMBER(SEARCH("PIN",K1)))</f>
        <v>0</v>
      </c>
      <c r="L2" s="1" t="b">
        <f t="shared" si="0"/>
        <v>0</v>
      </c>
      <c r="M2" s="1" t="b">
        <f t="shared" si="0"/>
        <v>0</v>
      </c>
      <c r="N2" s="1" t="b">
        <f t="shared" si="0"/>
        <v>0</v>
      </c>
      <c r="O2" s="1" t="b">
        <f t="shared" si="0"/>
        <v>0</v>
      </c>
      <c r="P2" s="1" t="b">
        <f t="shared" si="0"/>
        <v>0</v>
      </c>
      <c r="Q2" s="1" t="b">
        <f t="shared" si="0"/>
        <v>0</v>
      </c>
    </row>
    <row r="3" spans="1:17" x14ac:dyDescent="0.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>
        <v>46236</v>
      </c>
      <c r="G3" s="1">
        <v>499</v>
      </c>
      <c r="H3" s="1">
        <v>2</v>
      </c>
      <c r="J3" s="1" t="b">
        <f>COUNTIF(A2:A11, "*")&gt;0</f>
        <v>1</v>
      </c>
      <c r="K3" s="1" t="b">
        <f t="shared" ref="K3:Q3" si="1">COUNTIF(B2:B11, "*")&gt;0</f>
        <v>1</v>
      </c>
      <c r="L3" s="1" t="b">
        <f t="shared" si="1"/>
        <v>1</v>
      </c>
      <c r="M3" s="1" t="b">
        <f t="shared" si="1"/>
        <v>1</v>
      </c>
      <c r="N3" s="1" t="b">
        <f t="shared" si="1"/>
        <v>1</v>
      </c>
      <c r="O3" s="1" t="b">
        <f t="shared" si="1"/>
        <v>0</v>
      </c>
      <c r="P3" s="1" t="b">
        <f t="shared" si="1"/>
        <v>0</v>
      </c>
      <c r="Q3" s="1" t="b">
        <f t="shared" si="1"/>
        <v>0</v>
      </c>
    </row>
    <row r="4" spans="1:17" x14ac:dyDescent="0.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>
        <v>46237</v>
      </c>
      <c r="G4" s="1">
        <v>12999</v>
      </c>
      <c r="H4" s="1">
        <v>1</v>
      </c>
      <c r="J4" s="1" t="b">
        <f>OR(ISNUMBER(SEARCH("Status", J1)), ISNUMBER(SEARCH("Rating", J1)), ISNUMBER(SEARCH("Size", J1)))</f>
        <v>0</v>
      </c>
      <c r="K4" s="1" t="b">
        <f t="shared" ref="K4:Q4" si="2">OR(ISNUMBER(SEARCH("Status", K1)), ISNUMBER(SEARCH("Rating", K1)), ISNUMBER(SEARCH("Size", K1)))</f>
        <v>0</v>
      </c>
      <c r="L4" s="1" t="b">
        <f t="shared" si="2"/>
        <v>0</v>
      </c>
      <c r="M4" s="1" t="b">
        <f t="shared" si="2"/>
        <v>1</v>
      </c>
      <c r="N4" s="1" t="b">
        <f t="shared" si="2"/>
        <v>1</v>
      </c>
      <c r="O4" s="1" t="b">
        <f t="shared" si="2"/>
        <v>0</v>
      </c>
      <c r="P4" s="1" t="b">
        <f t="shared" si="2"/>
        <v>0</v>
      </c>
      <c r="Q4" s="1" t="b">
        <f t="shared" si="2"/>
        <v>0</v>
      </c>
    </row>
    <row r="5" spans="1:17" x14ac:dyDescent="0.3">
      <c r="A5" s="1" t="s">
        <v>50</v>
      </c>
      <c r="B5" s="1" t="s">
        <v>51</v>
      </c>
      <c r="C5" s="1" t="s">
        <v>52</v>
      </c>
      <c r="D5" s="1" t="s">
        <v>53</v>
      </c>
      <c r="E5" s="1" t="s">
        <v>39</v>
      </c>
      <c r="F5" s="1">
        <v>46237</v>
      </c>
      <c r="G5" s="1">
        <v>299</v>
      </c>
      <c r="H5" s="1">
        <v>3</v>
      </c>
      <c r="J5" s="1" t="b">
        <f>OR(ISNUMBER(SEARCH("Date", J1)), ISNUMBER(SEARCH("Time", J1)))</f>
        <v>0</v>
      </c>
      <c r="K5" s="1" t="b">
        <f t="shared" ref="K5:Q5" si="3">OR(ISNUMBER(SEARCH("Date", K1)), ISNUMBER(SEARCH("Time", K1)))</f>
        <v>0</v>
      </c>
      <c r="L5" s="1" t="b">
        <f t="shared" si="3"/>
        <v>0</v>
      </c>
      <c r="M5" s="1" t="b">
        <f t="shared" si="3"/>
        <v>0</v>
      </c>
      <c r="N5" s="1" t="b">
        <f t="shared" si="3"/>
        <v>0</v>
      </c>
      <c r="O5" s="1" t="b">
        <f t="shared" si="3"/>
        <v>1</v>
      </c>
      <c r="P5" s="1" t="b">
        <f t="shared" si="3"/>
        <v>0</v>
      </c>
      <c r="Q5" s="1" t="b">
        <f t="shared" si="3"/>
        <v>0</v>
      </c>
    </row>
    <row r="6" spans="1:17" x14ac:dyDescent="0.3">
      <c r="A6" s="1" t="s">
        <v>54</v>
      </c>
      <c r="B6" s="1" t="s">
        <v>36</v>
      </c>
      <c r="C6" s="1" t="s">
        <v>55</v>
      </c>
      <c r="D6" s="1" t="s">
        <v>38</v>
      </c>
      <c r="E6" s="1" t="s">
        <v>56</v>
      </c>
      <c r="F6" s="1">
        <v>46238</v>
      </c>
      <c r="G6" s="1">
        <v>899</v>
      </c>
      <c r="H6" s="1">
        <v>1</v>
      </c>
      <c r="J6" s="1" t="b">
        <f>IF(ISNUMBER(MIN(A2:A11)), MIN(A2:A11)&gt;=0, FALSE)</f>
        <v>1</v>
      </c>
      <c r="K6" s="1" t="b">
        <f t="shared" ref="K6:Q6" si="4">IF(ISNUMBER(MIN(B2:B11)), MIN(B2:B11)&gt;=0, FALSE)</f>
        <v>1</v>
      </c>
      <c r="L6" s="1" t="b">
        <f t="shared" si="4"/>
        <v>1</v>
      </c>
      <c r="M6" s="1" t="b">
        <f t="shared" si="4"/>
        <v>1</v>
      </c>
      <c r="N6" s="1" t="b">
        <f t="shared" si="4"/>
        <v>1</v>
      </c>
      <c r="O6" s="1" t="b">
        <f t="shared" si="4"/>
        <v>1</v>
      </c>
      <c r="P6" s="1" t="b">
        <f t="shared" si="4"/>
        <v>1</v>
      </c>
      <c r="Q6" s="1" t="b">
        <f t="shared" si="4"/>
        <v>1</v>
      </c>
    </row>
    <row r="7" spans="1:17" x14ac:dyDescent="0.3">
      <c r="A7" s="1" t="s">
        <v>57</v>
      </c>
      <c r="B7" s="1" t="s">
        <v>58</v>
      </c>
      <c r="C7" s="1" t="s">
        <v>37</v>
      </c>
      <c r="D7" s="1" t="s">
        <v>59</v>
      </c>
      <c r="E7" s="1" t="s">
        <v>60</v>
      </c>
      <c r="F7" s="1">
        <v>46239</v>
      </c>
      <c r="G7" s="1">
        <v>2499</v>
      </c>
      <c r="H7" s="1">
        <v>1</v>
      </c>
      <c r="J7" s="9" t="str">
        <f>IF(J2=TRUE, "Nominal", IF(J5=TRUE, "Interval", IF(J3=TRUE, IF(J4=TRUE, "Ordinal", "Nominal"), IF(ISNUMBER(A2), IF(J6=TRUE, "Ratio", "Interval"), "Unknown"))))</f>
        <v>Nominal</v>
      </c>
      <c r="K7" s="9" t="str">
        <f t="shared" ref="K7:Q7" si="5">IF(K2=TRUE, "Nominal", IF(K5=TRUE, "Interval", IF(K3=TRUE, IF(K4=TRUE, "Ordinal", "Nominal"), IF(ISNUMBER(B2), IF(K6=TRUE, "Ratio", "Interval"), "Unknown"))))</f>
        <v>Nominal</v>
      </c>
      <c r="L7" s="9" t="str">
        <f t="shared" si="5"/>
        <v>Nominal</v>
      </c>
      <c r="M7" s="9" t="str">
        <f t="shared" si="5"/>
        <v>Ordinal</v>
      </c>
      <c r="N7" s="9" t="str">
        <f t="shared" si="5"/>
        <v>Ordinal</v>
      </c>
      <c r="O7" s="9" t="str">
        <f t="shared" si="5"/>
        <v>Interval</v>
      </c>
      <c r="P7" s="9" t="str">
        <f t="shared" si="5"/>
        <v>Ratio</v>
      </c>
      <c r="Q7" s="9" t="str">
        <f t="shared" si="5"/>
        <v>Ratio</v>
      </c>
    </row>
    <row r="8" spans="1:17" x14ac:dyDescent="0.3">
      <c r="A8" s="1" t="s">
        <v>61</v>
      </c>
      <c r="B8" s="1" t="s">
        <v>41</v>
      </c>
      <c r="C8" s="1" t="s">
        <v>62</v>
      </c>
      <c r="D8" s="1" t="s">
        <v>38</v>
      </c>
      <c r="E8" s="1" t="s">
        <v>44</v>
      </c>
      <c r="F8" s="1">
        <v>46239</v>
      </c>
      <c r="G8" s="1">
        <v>34990</v>
      </c>
      <c r="H8" s="1">
        <v>1</v>
      </c>
    </row>
    <row r="9" spans="1:17" x14ac:dyDescent="0.3">
      <c r="A9" s="1" t="s">
        <v>63</v>
      </c>
      <c r="B9" s="1" t="s">
        <v>64</v>
      </c>
      <c r="C9" s="1" t="s">
        <v>37</v>
      </c>
      <c r="D9" s="1" t="s">
        <v>65</v>
      </c>
      <c r="E9" s="1" t="s">
        <v>56</v>
      </c>
      <c r="F9" s="1">
        <v>46240</v>
      </c>
      <c r="G9" s="1">
        <v>750</v>
      </c>
      <c r="H9" s="1">
        <v>2</v>
      </c>
    </row>
    <row r="10" spans="1:17" x14ac:dyDescent="0.3">
      <c r="A10" s="1" t="s">
        <v>66</v>
      </c>
      <c r="B10" s="1" t="s">
        <v>46</v>
      </c>
      <c r="C10" s="1" t="s">
        <v>47</v>
      </c>
      <c r="D10" s="1" t="s">
        <v>38</v>
      </c>
      <c r="E10" s="1" t="s">
        <v>39</v>
      </c>
      <c r="F10" s="1">
        <v>46241</v>
      </c>
      <c r="G10" s="1">
        <v>199</v>
      </c>
      <c r="H10" s="1">
        <v>5</v>
      </c>
    </row>
    <row r="11" spans="1:17" x14ac:dyDescent="0.3">
      <c r="A11" s="1" t="s">
        <v>67</v>
      </c>
      <c r="B11" s="1" t="s">
        <v>36</v>
      </c>
      <c r="C11" s="1" t="s">
        <v>42</v>
      </c>
      <c r="D11" s="1" t="s">
        <v>53</v>
      </c>
      <c r="E11" s="1" t="s">
        <v>44</v>
      </c>
      <c r="F11" s="1">
        <v>46242</v>
      </c>
      <c r="G11" s="1">
        <v>1850</v>
      </c>
      <c r="H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2026-08-15T09:27:30Z</dcterms:created>
  <dcterms:modified xsi:type="dcterms:W3CDTF">2026-08-16T08:14:35Z</dcterms:modified>
</cp:coreProperties>
</file>