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ADVANCED EXCEL ^0 STATISTICS/STATISTICS ASSIGNMENT/"/>
    </mc:Choice>
  </mc:AlternateContent>
  <xr:revisionPtr revIDLastSave="250" documentId="8_{23D85C31-BD11-4972-B0ED-52894CD4CCED}" xr6:coauthVersionLast="47" xr6:coauthVersionMax="47" xr10:uidLastSave="{B339B6B1-BF56-4771-8AD0-C9B020EE49C3}"/>
  <bookViews>
    <workbookView xWindow="-108" yWindow="-108" windowWidth="23256" windowHeight="12456" xr2:uid="{DDA45D32-02C7-41F4-BB18-5B06AB20EE44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3" i="2"/>
  <c r="E3" i="5"/>
  <c r="F4" i="4"/>
  <c r="F3" i="4"/>
  <c r="F7" i="4"/>
  <c r="E9" i="3"/>
  <c r="E3" i="3"/>
  <c r="E4" i="3"/>
  <c r="E4" i="2"/>
  <c r="E6" i="1"/>
  <c r="E4" i="1"/>
  <c r="E3" i="1"/>
</calcChain>
</file>

<file path=xl/sharedStrings.xml><?xml version="1.0" encoding="utf-8"?>
<sst xmlns="http://schemas.openxmlformats.org/spreadsheetml/2006/main" count="23" uniqueCount="15">
  <si>
    <t>Daily steps of users in 7 days</t>
  </si>
  <si>
    <t>Maximmum</t>
  </si>
  <si>
    <t>Minimum</t>
  </si>
  <si>
    <t>RANGE</t>
  </si>
  <si>
    <t>Order Amount</t>
  </si>
  <si>
    <t>Standard Variance</t>
  </si>
  <si>
    <t>Standard Deviation</t>
  </si>
  <si>
    <t>Monthly mobile data usage(GB) for over  6 months</t>
  </si>
  <si>
    <t>Mean</t>
  </si>
  <si>
    <t>GB</t>
  </si>
  <si>
    <t>C.V</t>
  </si>
  <si>
    <t>%</t>
  </si>
  <si>
    <t>No of likes on 10% instagram posts</t>
  </si>
  <si>
    <t xml:space="preserve"> DAILY UPI SPEND(Rupees)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</si>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</sst>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0.000"/>
    <numFmt numFmtId="169" formatCode="[$₹-4009]\ #,##0.00"/>
    <numFmt numFmtId="172" formatCode="[$₹-4009]\ #,##0;[$₹-4009]\ \-#,##0"/>
    <numFmt numFmtId="178" formatCode="_ [$₹-4009]\ * #,##0_ ;_ [$₹-4009]\ * \-#,##0_ ;_ [$₹-4009]\ * &quot;-&quot;_ ;_ @_ "/>
    <numFmt numFmtId="179" formatCode="[$₹-4009]\ #,##0"/>
    <numFmt numFmtId="181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3" fillId="5" borderId="1" xfId="0" applyFont="1" applyFill="1" applyBorder="1"/>
    <xf numFmtId="0" fontId="0" fillId="6" borderId="1" xfId="0" applyFont="1" applyFill="1" applyBorder="1"/>
    <xf numFmtId="2" fontId="0" fillId="0" borderId="0" xfId="0" applyNumberFormat="1"/>
    <xf numFmtId="169" fontId="0" fillId="4" borderId="1" xfId="2" applyNumberFormat="1" applyFont="1" applyFill="1" applyBorder="1"/>
    <xf numFmtId="172" fontId="2" fillId="2" borderId="1" xfId="2" applyNumberFormat="1" applyFont="1" applyFill="1" applyBorder="1" applyAlignment="1">
      <alignment horizontal="center"/>
    </xf>
    <xf numFmtId="172" fontId="0" fillId="0" borderId="1" xfId="2" applyNumberFormat="1" applyFont="1" applyBorder="1" applyAlignment="1">
      <alignment horizontal="center"/>
    </xf>
    <xf numFmtId="172" fontId="0" fillId="0" borderId="1" xfId="2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4" borderId="2" xfId="0" applyNumberFormat="1" applyFill="1" applyBorder="1"/>
    <xf numFmtId="0" fontId="0" fillId="4" borderId="3" xfId="0" applyFill="1" applyBorder="1"/>
    <xf numFmtId="165" fontId="0" fillId="4" borderId="2" xfId="0" applyNumberFormat="1" applyFill="1" applyBorder="1"/>
    <xf numFmtId="0" fontId="3" fillId="6" borderId="4" xfId="0" applyFont="1" applyFill="1" applyBorder="1"/>
    <xf numFmtId="0" fontId="3" fillId="6" borderId="1" xfId="0" applyFont="1" applyFill="1" applyBorder="1"/>
    <xf numFmtId="2" fontId="0" fillId="4" borderId="2" xfId="3" applyNumberFormat="1" applyFont="1" applyFill="1" applyBorder="1"/>
    <xf numFmtId="0" fontId="0" fillId="0" borderId="0" xfId="0" applyBorder="1"/>
    <xf numFmtId="0" fontId="3" fillId="3" borderId="4" xfId="0" applyFont="1" applyFill="1" applyBorder="1"/>
    <xf numFmtId="2" fontId="2" fillId="4" borderId="1" xfId="0" applyNumberFormat="1" applyFont="1" applyFill="1" applyBorder="1"/>
    <xf numFmtId="178" fontId="0" fillId="0" borderId="1" xfId="2" applyNumberFormat="1" applyFont="1" applyBorder="1" applyAlignment="1">
      <alignment horizontal="center"/>
    </xf>
    <xf numFmtId="178" fontId="0" fillId="0" borderId="1" xfId="2" applyNumberFormat="1" applyFont="1" applyBorder="1" applyAlignment="1"/>
    <xf numFmtId="179" fontId="0" fillId="4" borderId="1" xfId="0" applyNumberFormat="1" applyFill="1" applyBorder="1"/>
    <xf numFmtId="1" fontId="0" fillId="4" borderId="1" xfId="2" applyNumberFormat="1" applyFont="1" applyFill="1" applyBorder="1"/>
    <xf numFmtId="181" fontId="0" fillId="4" borderId="1" xfId="1" applyNumberFormat="1" applyFont="1" applyFill="1" applyBorder="1"/>
    <xf numFmtId="178" fontId="0" fillId="4" borderId="1" xfId="0" applyNumberFormat="1" applyFill="1" applyBorder="1" applyAlignment="1">
      <alignment horizontal="left" indent="6"/>
    </xf>
    <xf numFmtId="0" fontId="2" fillId="4" borderId="3" xfId="3" applyNumberFormat="1" applyFont="1" applyFill="1" applyBorder="1"/>
    <xf numFmtId="2" fontId="2" fillId="4" borderId="2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11</xdr:row>
      <xdr:rowOff>7620</xdr:rowOff>
    </xdr:from>
    <xdr:to>
      <xdr:col>10</xdr:col>
      <xdr:colOff>38100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C64D01-EBAA-79A6-4672-4877F954894F}"/>
            </a:ext>
          </a:extLst>
        </xdr:cNvPr>
        <xdr:cNvSpPr txBox="1"/>
      </xdr:nvSpPr>
      <xdr:spPr>
        <a:xfrm>
          <a:off x="4183380" y="2019300"/>
          <a:ext cx="5638800" cy="6172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 Coefficient of Variation of </a:t>
          </a:r>
          <a:r>
            <a:rPr lang="en-US" b="1"/>
            <a:t>8.05%</a:t>
          </a:r>
          <a:r>
            <a:rPr lang="en-US"/>
            <a:t> is exceptionally low (well below the common 15-20% variability threshold). This indicates that the user's mobile data usage is </a:t>
          </a:r>
          <a:r>
            <a:rPr lang="en-US" b="1"/>
            <a:t>highly consistent</a:t>
          </a:r>
          <a:r>
            <a:rPr lang="en-US"/>
            <a:t> month-over-month.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8</xdr:row>
      <xdr:rowOff>152400</xdr:rowOff>
    </xdr:from>
    <xdr:to>
      <xdr:col>10</xdr:col>
      <xdr:colOff>304800</xdr:colOff>
      <xdr:row>12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ED3DB0-785C-4ADD-F050-473B959A38DD}"/>
                </a:ext>
              </a:extLst>
            </xdr:cNvPr>
            <xdr:cNvSpPr txBox="1"/>
          </xdr:nvSpPr>
          <xdr:spPr>
            <a:xfrm>
              <a:off x="3489960" y="1615440"/>
              <a:ext cx="4945380" cy="61722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Comparing the standard deviation (</a:t>
              </a:r>
              <a14:m>
                <m:oMath xmlns:m="http://schemas.openxmlformats.org/officeDocument/2006/math">
                  <m:r>
                    <a:rPr lang="en-US" b="0" i="1">
                      <a:latin typeface="Cambria Math" panose="02040503050406030204" pitchFamily="18" charset="0"/>
                    </a:rPr>
                    <m:t>19.07</m:t>
                  </m:r>
                </m:oMath>
              </a14:m>
              <a:r>
                <a:rPr lang="en-US"/>
                <a:t>) to the mean (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139.5</m:t>
                  </m:r>
                </m:oMath>
              </a14:m>
              <a:r>
                <a:rPr lang="en-US"/>
                <a:t>) gives a C.V of 13.67%.</a:t>
              </a:r>
              <a:r>
                <a:rPr lang="en-US" baseline="0"/>
                <a:t> </a:t>
              </a:r>
              <a:r>
                <a:rPr lang="en-US"/>
                <a:t>Because the standard deviation is small relative to the average likes, the account experiences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steady, highly predictable engagement</a:t>
              </a:r>
              <a:r>
                <a:rPr lang="en-US"/>
                <a:t> </a:t>
              </a:r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ED3DB0-785C-4ADD-F050-473B959A38DD}"/>
                </a:ext>
              </a:extLst>
            </xdr:cNvPr>
            <xdr:cNvSpPr txBox="1"/>
          </xdr:nvSpPr>
          <xdr:spPr>
            <a:xfrm>
              <a:off x="3489960" y="1615440"/>
              <a:ext cx="4945380" cy="617220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/>
                <a:t>Comparing the standard deviation (</a:t>
              </a:r>
              <a:r>
                <a:rPr lang="en-US" b="0" i="0">
                  <a:latin typeface="Cambria Math" panose="02040503050406030204" pitchFamily="18" charset="0"/>
                </a:rPr>
                <a:t>19.07</a:t>
              </a:r>
              <a:r>
                <a:rPr lang="en-US"/>
                <a:t>) to the mean (</a:t>
              </a:r>
              <a:r>
                <a:rPr lang="en-US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139.5</a:t>
              </a:r>
              <a:r>
                <a:rPr lang="en-US"/>
                <a:t>) gives a C.V of 13.67%.</a:t>
              </a:r>
              <a:r>
                <a:rPr lang="en-US" baseline="0"/>
                <a:t> </a:t>
              </a:r>
              <a:r>
                <a:rPr lang="en-US"/>
                <a:t>Because the standard deviation is small relative to the average likes, the account experiences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steady, highly predictable engagement</a:t>
              </a:r>
              <a:r>
                <a:rPr lang="en-US"/>
                <a:t> 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7</xdr:row>
      <xdr:rowOff>76200</xdr:rowOff>
    </xdr:from>
    <xdr:to>
      <xdr:col>10</xdr:col>
      <xdr:colOff>472440</xdr:colOff>
      <xdr:row>11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FEAE3-FC9D-539E-6B03-CD8F1FF31F5A}"/>
            </a:ext>
          </a:extLst>
        </xdr:cNvPr>
        <xdr:cNvSpPr txBox="1"/>
      </xdr:nvSpPr>
      <xdr:spPr>
        <a:xfrm>
          <a:off x="2590800" y="1356360"/>
          <a:ext cx="5600700" cy="67818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he sample standard deviation (₹336) exceeds the average daily spend (₹270). This indicates </a:t>
          </a:r>
          <a:r>
            <a:rPr lang="en-US" b="1"/>
            <a:t>unstable spending behavior</a:t>
          </a:r>
          <a:r>
            <a:rPr lang="en-US"/>
            <a:t>, driven by an outlier transaction (₹1100) that inflates variance despite low everyday routine expenses (~₹120–₹180).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EF19-973D-4CD1-A9D1-6FADCCEE9490}">
  <dimension ref="B1:E9"/>
  <sheetViews>
    <sheetView tabSelected="1" workbookViewId="0">
      <selection activeCell="G35" sqref="G35"/>
    </sheetView>
  </sheetViews>
  <sheetFormatPr defaultRowHeight="14.4" x14ac:dyDescent="0.3"/>
  <cols>
    <col min="2" max="2" width="25.77734375" style="1" customWidth="1"/>
    <col min="4" max="4" width="10.88671875" customWidth="1"/>
  </cols>
  <sheetData>
    <row r="1" spans="2:5" x14ac:dyDescent="0.3">
      <c r="B1"/>
    </row>
    <row r="2" spans="2:5" x14ac:dyDescent="0.3">
      <c r="B2" s="4" t="s">
        <v>0</v>
      </c>
    </row>
    <row r="3" spans="2:5" x14ac:dyDescent="0.3">
      <c r="B3" s="3">
        <v>6500</v>
      </c>
      <c r="D3" s="8" t="s">
        <v>1</v>
      </c>
      <c r="E3" s="9">
        <f>MAX(B3:B9)</f>
        <v>9000</v>
      </c>
    </row>
    <row r="4" spans="2:5" x14ac:dyDescent="0.3">
      <c r="B4" s="3">
        <v>7200</v>
      </c>
      <c r="D4" s="8" t="s">
        <v>2</v>
      </c>
      <c r="E4" s="9">
        <f>MIN(B3:B9)</f>
        <v>6000</v>
      </c>
    </row>
    <row r="5" spans="2:5" x14ac:dyDescent="0.3">
      <c r="B5" s="3">
        <v>8000</v>
      </c>
    </row>
    <row r="6" spans="2:5" x14ac:dyDescent="0.3">
      <c r="B6" s="3">
        <v>6000</v>
      </c>
      <c r="D6" s="7" t="s">
        <v>3</v>
      </c>
      <c r="E6" s="6">
        <f>E3-E4</f>
        <v>3000</v>
      </c>
    </row>
    <row r="7" spans="2:5" x14ac:dyDescent="0.3">
      <c r="B7" s="3">
        <v>9000</v>
      </c>
    </row>
    <row r="8" spans="2:5" x14ac:dyDescent="0.3">
      <c r="B8" s="3">
        <v>7500</v>
      </c>
    </row>
    <row r="9" spans="2:5" x14ac:dyDescent="0.3">
      <c r="B9" s="3">
        <v>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2884-9E9F-46C8-AF70-4EC74FFC9A53}">
  <dimension ref="B1:E7"/>
  <sheetViews>
    <sheetView workbookViewId="0">
      <selection activeCell="E3" sqref="E3"/>
    </sheetView>
  </sheetViews>
  <sheetFormatPr defaultRowHeight="14.4" x14ac:dyDescent="0.3"/>
  <cols>
    <col min="2" max="2" width="13.44140625" style="2" customWidth="1"/>
    <col min="4" max="4" width="17.21875" customWidth="1"/>
    <col min="5" max="5" width="10.21875" bestFit="1" customWidth="1"/>
  </cols>
  <sheetData>
    <row r="1" spans="2:5" x14ac:dyDescent="0.3">
      <c r="B1"/>
    </row>
    <row r="2" spans="2:5" x14ac:dyDescent="0.3">
      <c r="B2" s="12" t="s">
        <v>4</v>
      </c>
    </row>
    <row r="3" spans="2:5" x14ac:dyDescent="0.3">
      <c r="B3" s="13">
        <v>250</v>
      </c>
      <c r="D3" s="5" t="s">
        <v>5</v>
      </c>
      <c r="E3" s="28">
        <f>_xlfn.VAR.S(B$3:B$7)</f>
        <v>9250</v>
      </c>
    </row>
    <row r="4" spans="2:5" x14ac:dyDescent="0.3">
      <c r="B4" s="13">
        <v>400</v>
      </c>
      <c r="D4" s="5" t="s">
        <v>6</v>
      </c>
      <c r="E4" s="11">
        <f>STDEV(B$3:B$7)</f>
        <v>96.176920308356728</v>
      </c>
    </row>
    <row r="5" spans="2:5" x14ac:dyDescent="0.3">
      <c r="B5" s="13">
        <v>350</v>
      </c>
    </row>
    <row r="6" spans="2:5" x14ac:dyDescent="0.3">
      <c r="B6" s="14">
        <v>300</v>
      </c>
    </row>
    <row r="7" spans="2:5" x14ac:dyDescent="0.3">
      <c r="B7" s="14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50F4-94A9-4457-9BC4-A6980D3C0A11}">
  <dimension ref="B2:F13"/>
  <sheetViews>
    <sheetView workbookViewId="0">
      <selection activeCell="C18" sqref="C18"/>
    </sheetView>
  </sheetViews>
  <sheetFormatPr defaultRowHeight="14.4" x14ac:dyDescent="0.3"/>
  <cols>
    <col min="2" max="2" width="42.33203125" bestFit="1" customWidth="1"/>
    <col min="4" max="4" width="17.5546875" bestFit="1" customWidth="1"/>
    <col min="5" max="5" width="20.5546875" bestFit="1" customWidth="1"/>
  </cols>
  <sheetData>
    <row r="2" spans="2:6" x14ac:dyDescent="0.3">
      <c r="B2" s="15" t="s">
        <v>7</v>
      </c>
    </row>
    <row r="3" spans="2:6" x14ac:dyDescent="0.3">
      <c r="B3" s="3">
        <v>3.2</v>
      </c>
      <c r="D3" s="20" t="s">
        <v>6</v>
      </c>
      <c r="E3" s="16">
        <f>_xlfn.STDEV.S(B3:B80)</f>
        <v>0.24832774042918906</v>
      </c>
      <c r="F3" s="17" t="s">
        <v>9</v>
      </c>
    </row>
    <row r="4" spans="2:6" x14ac:dyDescent="0.3">
      <c r="B4" s="3">
        <v>2.8</v>
      </c>
      <c r="D4" s="19" t="s">
        <v>8</v>
      </c>
      <c r="E4" s="18">
        <f>AVERAGE(B3:B8)</f>
        <v>3.0833333333333335</v>
      </c>
      <c r="F4" s="17" t="s">
        <v>9</v>
      </c>
    </row>
    <row r="5" spans="2:6" x14ac:dyDescent="0.3">
      <c r="B5" s="3">
        <v>3.5</v>
      </c>
    </row>
    <row r="6" spans="2:6" x14ac:dyDescent="0.3">
      <c r="B6" s="3">
        <v>3</v>
      </c>
    </row>
    <row r="7" spans="2:6" x14ac:dyDescent="0.3">
      <c r="B7" s="3">
        <v>2.9</v>
      </c>
    </row>
    <row r="8" spans="2:6" x14ac:dyDescent="0.3">
      <c r="B8" s="3">
        <v>3.1</v>
      </c>
    </row>
    <row r="9" spans="2:6" x14ac:dyDescent="0.3">
      <c r="D9" s="7" t="s">
        <v>10</v>
      </c>
      <c r="E9" s="21">
        <f>(E3/E4)*100</f>
        <v>8.0538726625682937</v>
      </c>
      <c r="F9" s="17" t="s">
        <v>11</v>
      </c>
    </row>
    <row r="13" spans="2:6" x14ac:dyDescent="0.3">
      <c r="E13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960-4AEE-49CA-8D02-61CEC67F5266}">
  <dimension ref="B2:G12"/>
  <sheetViews>
    <sheetView workbookViewId="0">
      <selection activeCell="I41" sqref="I41"/>
    </sheetView>
  </sheetViews>
  <sheetFormatPr defaultRowHeight="14.4" x14ac:dyDescent="0.3"/>
  <cols>
    <col min="2" max="2" width="29.88671875" bestFit="1" customWidth="1"/>
    <col min="5" max="5" width="17.5546875" bestFit="1" customWidth="1"/>
  </cols>
  <sheetData>
    <row r="2" spans="2:7" x14ac:dyDescent="0.3">
      <c r="B2" s="4" t="s">
        <v>12</v>
      </c>
    </row>
    <row r="3" spans="2:7" x14ac:dyDescent="0.3">
      <c r="B3" s="3">
        <v>120</v>
      </c>
      <c r="E3" s="5" t="s">
        <v>6</v>
      </c>
      <c r="F3" s="24">
        <f>_xlfn.STDEV.S(B3:B12)</f>
        <v>19.068589646618101</v>
      </c>
    </row>
    <row r="4" spans="2:7" x14ac:dyDescent="0.3">
      <c r="B4" s="3">
        <v>150</v>
      </c>
      <c r="E4" s="23" t="s">
        <v>8</v>
      </c>
      <c r="F4" s="6">
        <f>AVERAGE(B3:B12)</f>
        <v>139.5</v>
      </c>
    </row>
    <row r="5" spans="2:7" x14ac:dyDescent="0.3">
      <c r="B5" s="3">
        <v>130</v>
      </c>
    </row>
    <row r="6" spans="2:7" x14ac:dyDescent="0.3">
      <c r="B6" s="3">
        <v>110</v>
      </c>
    </row>
    <row r="7" spans="2:7" x14ac:dyDescent="0.3">
      <c r="B7" s="3">
        <v>170</v>
      </c>
      <c r="E7" s="7" t="s">
        <v>10</v>
      </c>
      <c r="F7" s="32">
        <f>(F3/F4)*100</f>
        <v>13.669239890048818</v>
      </c>
      <c r="G7" s="31" t="s">
        <v>11</v>
      </c>
    </row>
    <row r="8" spans="2:7" x14ac:dyDescent="0.3">
      <c r="B8" s="3">
        <v>140</v>
      </c>
    </row>
    <row r="9" spans="2:7" x14ac:dyDescent="0.3">
      <c r="B9" s="3">
        <v>135</v>
      </c>
    </row>
    <row r="10" spans="2:7" x14ac:dyDescent="0.3">
      <c r="B10" s="3">
        <v>160</v>
      </c>
    </row>
    <row r="11" spans="2:7" x14ac:dyDescent="0.3">
      <c r="B11" s="3">
        <v>125</v>
      </c>
    </row>
    <row r="12" spans="2:7" x14ac:dyDescent="0.3">
      <c r="B12" s="3">
        <v>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446-3AF0-4C78-94ED-CFF51F263994}">
  <dimension ref="B2:K10"/>
  <sheetViews>
    <sheetView workbookViewId="0">
      <selection activeCell="H38" sqref="H38"/>
    </sheetView>
  </sheetViews>
  <sheetFormatPr defaultRowHeight="14.4" x14ac:dyDescent="0.3"/>
  <cols>
    <col min="2" max="2" width="23.21875" bestFit="1" customWidth="1"/>
    <col min="4" max="4" width="17.5546875" bestFit="1" customWidth="1"/>
    <col min="5" max="5" width="12" bestFit="1" customWidth="1"/>
  </cols>
  <sheetData>
    <row r="2" spans="2:11" x14ac:dyDescent="0.3">
      <c r="B2" s="4" t="s">
        <v>13</v>
      </c>
    </row>
    <row r="3" spans="2:11" x14ac:dyDescent="0.3">
      <c r="B3" s="25">
        <v>150</v>
      </c>
      <c r="D3" s="5" t="s">
        <v>8</v>
      </c>
      <c r="E3" s="30">
        <f>AVERAGE(B3:B10)</f>
        <v>270</v>
      </c>
      <c r="K3" s="10"/>
    </row>
    <row r="4" spans="2:11" x14ac:dyDescent="0.3">
      <c r="B4" s="26">
        <v>120</v>
      </c>
      <c r="D4" s="5" t="s">
        <v>14</v>
      </c>
      <c r="E4" s="29">
        <f>_xlfn.VAR.S(B3:B10)</f>
        <v>112921.42857142857</v>
      </c>
    </row>
    <row r="5" spans="2:11" x14ac:dyDescent="0.3">
      <c r="B5" s="26">
        <v>180</v>
      </c>
      <c r="D5" s="5" t="s">
        <v>6</v>
      </c>
      <c r="E5" s="27">
        <f>_xlfn.STDEV.S(B3:B10)</f>
        <v>336.03783800552662</v>
      </c>
    </row>
    <row r="6" spans="2:11" x14ac:dyDescent="0.3">
      <c r="B6" s="26">
        <v>140</v>
      </c>
    </row>
    <row r="7" spans="2:11" x14ac:dyDescent="0.3">
      <c r="B7" s="26">
        <v>165</v>
      </c>
    </row>
    <row r="8" spans="2:11" x14ac:dyDescent="0.3">
      <c r="B8" s="26">
        <v>130</v>
      </c>
      <c r="E8" s="2"/>
    </row>
    <row r="9" spans="2:11" x14ac:dyDescent="0.3">
      <c r="B9" s="26">
        <v>1100</v>
      </c>
    </row>
    <row r="10" spans="2:11" x14ac:dyDescent="0.3">
      <c r="B10" s="26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2026-08-16T09:18:44Z</dcterms:created>
  <dcterms:modified xsi:type="dcterms:W3CDTF">2026-08-16T11:34:02Z</dcterms:modified>
</cp:coreProperties>
</file>