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293" documentId="8_{A7E0618D-5D36-4596-956D-BA40E3178703}" xr6:coauthVersionLast="47" xr6:coauthVersionMax="47" xr10:uidLastSave="{C6B2E132-2347-46BF-A6E3-B0E04A4DB9FB}"/>
  <bookViews>
    <workbookView xWindow="-108" yWindow="-108" windowWidth="23256" windowHeight="12456" xr2:uid="{BA802483-59E8-46C7-8222-81CB4B8A7700}"/>
  </bookViews>
  <sheets>
    <sheet name="1" sheetId="1" r:id="rId1"/>
    <sheet name="2" sheetId="2" r:id="rId2"/>
    <sheet name="3" sheetId="3" r:id="rId3"/>
    <sheet name="4" sheetId="4" r:id="rId4"/>
    <sheet name="5(INSIGHT)" sheetId="5" r:id="rId5"/>
  </sheets>
  <definedNames>
    <definedName name="_xlnm._FilterDatabase" localSheetId="0" hidden="1">'1'!$A$1:$H$16</definedName>
    <definedName name="_xlnm._FilterDatabase" localSheetId="1" hidden="1">'2'!$A$1:$I$16</definedName>
  </definedNames>
  <calcPr calcId="191029"/>
  <pivotCaches>
    <pivotCache cacheId="149" r:id="rId6"/>
    <pivotCache cacheId="15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F23" i="1" a="1"/>
  <c r="F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<sst xmlns="http://schemas.openxmlformats.org/spreadsheetml/2006/main" count="152" uniqueCount="53">
  <si>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</si>
  <si>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</si>
  <si>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</si>
  <si>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</si>
  <si>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</si>
  <si>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</si>
  <si>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</si>
  <si>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</si>
  <si>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</si>
  <si>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</si>
  <si>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</si>
  <si>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</si>
  <si>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HAND WARMER UNION JACK</t>
  </si>
  <si>
    <t>ALARM CLOCK BAKELIKE PINK</t>
  </si>
  <si>
    <t>France</t>
  </si>
  <si>
    <t>84406B</t>
  </si>
  <si>
    <t>CREAM CUPID HEARTS COAT HANGER</t>
  </si>
  <si>
    <t>WOODEN PICTURE FRAME WHITE FINISH</t>
  </si>
  <si>
    <t>DOORMAT Fawn</t>
  </si>
  <si>
    <t>GUMBALL COAT RACK</t>
  </si>
  <si>
    <t>ALARM CLOCK BAKELIKE RED</t>
  </si>
  <si>
    <t>Australia</t>
  </si>
  <si>
    <t>CHRISTMAS LIGHTS 10 REINDEER</t>
  </si>
  <si>
    <t>FANCY FONT BIRTHDAY CARD</t>
  </si>
  <si>
    <t>RETROSPOT LAMP</t>
  </si>
  <si>
    <t>HAND WARMER RED RETROSPOT</t>
  </si>
  <si>
    <t>REGENCY CAKESTAND 3 TIER</t>
  </si>
  <si>
    <t>SCOTTIE DOG WALL CLOCK</t>
  </si>
  <si>
    <t>Unique CustomerIDs made purchases from the UK</t>
  </si>
  <si>
    <t>Total Sales</t>
  </si>
  <si>
    <t>Row Labels</t>
  </si>
  <si>
    <t>Sum of Total Sales</t>
  </si>
  <si>
    <t xml:space="preserve"> Sales</t>
  </si>
  <si>
    <t>Average order Value</t>
  </si>
  <si>
    <t>France Order Value (₹)</t>
  </si>
  <si>
    <t>Germany Order Value (₹)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</si>
  <si>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</si>
  <si>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</si>
  <si>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</si>
  <si>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</si>
  <si>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</si>
  <si>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</si>
  <si>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</si>
  <si>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</si>
  <si>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</si>
  <si>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</si>
  <si>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</si>
  <si>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Germany</t>
  </si>
  <si>
    <t>P-value</t>
  </si>
  <si>
    <t>Alpha</t>
  </si>
  <si>
    <t>&lt;</t>
  </si>
  <si>
    <t>T-Critical</t>
  </si>
  <si>
    <t>|t Stat|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</si>
</sst>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8" formatCode="[$₹-4009]\ #,##0.00;[$₹-4009]\ \-#,##0.00"/>
    <numFmt numFmtId="169" formatCode="[$₹-4009]\ #,##0.00"/>
    <numFmt numFmtId="170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0" xfId="1" applyFont="1"/>
    <xf numFmtId="0" fontId="0" fillId="3" borderId="1" xfId="0" applyFill="1" applyBorder="1" applyAlignment="1">
      <alignment horizontal="center"/>
    </xf>
    <xf numFmtId="0" fontId="3" fillId="5" borderId="1" xfId="0" applyFont="1" applyFill="1" applyBorder="1"/>
    <xf numFmtId="0" fontId="2" fillId="6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8" fontId="2" fillId="2" borderId="1" xfId="1" applyNumberFormat="1" applyFont="1" applyFill="1" applyBorder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169" fontId="2" fillId="2" borderId="1" xfId="0" applyNumberFormat="1" applyFon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2" fillId="2" borderId="1" xfId="1" applyNumberFormat="1" applyFont="1" applyFill="1" applyBorder="1" applyAlignment="1">
      <alignment horizontal="center"/>
    </xf>
    <xf numFmtId="170" fontId="0" fillId="0" borderId="1" xfId="1" applyNumberFormat="1" applyFont="1" applyBorder="1" applyAlignment="1">
      <alignment horizontal="center"/>
    </xf>
    <xf numFmtId="169" fontId="0" fillId="0" borderId="0" xfId="0" applyNumberFormat="1"/>
    <xf numFmtId="0" fontId="2" fillId="5" borderId="1" xfId="0" applyFont="1" applyFill="1" applyBorder="1"/>
    <xf numFmtId="169" fontId="2" fillId="6" borderId="1" xfId="0" applyNumberFormat="1" applyFont="1" applyFill="1" applyBorder="1"/>
    <xf numFmtId="0" fontId="0" fillId="0" borderId="0" xfId="0" applyBorder="1"/>
    <xf numFmtId="0" fontId="2" fillId="4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0" borderId="1" xfId="0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1417320</xdr:colOff>
      <xdr:row>18</xdr:row>
      <xdr:rowOff>53340</xdr:rowOff>
    </xdr:from>
    <xdr:to>
      <xdr:col>12</xdr:col>
      <xdr:colOff>579120</xdr:colOff>
      <xdr:row>20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EF07D6-345F-A915-F0F0-DB371426226D}"/>
            </a:ext>
          </a:extLst>
        </xdr:cNvPr>
        <xdr:cNvSpPr txBox="1"/>
      </xdr:nvSpPr>
      <xdr:spPr>
        <a:xfrm>
          <a:off x="5387340" y="3360420"/>
          <a:ext cx="7848600" cy="4572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Here P-value is less</a:t>
          </a:r>
          <a:r>
            <a:rPr lang="en-US" sz="1100" baseline="0"/>
            <a:t> than significance value of alpha and T-critical is less than tStat , so </a:t>
          </a:r>
          <a:r>
            <a:rPr lang="en-US" sz="1100" b="1" baseline="0"/>
            <a:t>we reject the null hypothesis(Ho)</a:t>
          </a:r>
          <a:r>
            <a:rPr lang="en-US" sz="1100" baseline="0"/>
            <a:t>.</a:t>
          </a:r>
          <a:r>
            <a:rPr lang="en-US"/>
            <a:t>The difference in average order value between France and Germany is </a:t>
          </a:r>
          <a:r>
            <a:rPr lang="en-US" b="1"/>
            <a:t>statistically significant</a:t>
          </a:r>
          <a:r>
            <a:rPr lang="en-US"/>
            <a:t> at the 0.05 level</a:t>
          </a:r>
          <a:r>
            <a:rPr lang="en-US" baseline="0"/>
            <a:t>.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9</xdr:row>
      <xdr:rowOff>30480</xdr:rowOff>
    </xdr:from>
    <xdr:to>
      <xdr:col>20</xdr:col>
      <xdr:colOff>327660</xdr:colOff>
      <xdr:row>13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BB8704-BC9B-6A47-419C-3F8A08987D2D}"/>
            </a:ext>
          </a:extLst>
        </xdr:cNvPr>
        <xdr:cNvSpPr txBox="1"/>
      </xdr:nvSpPr>
      <xdr:spPr>
        <a:xfrm>
          <a:off x="2133600" y="1676400"/>
          <a:ext cx="10386060" cy="8763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</a:t>
          </a:r>
          <a:r>
            <a:rPr lang="en-US" b="0"/>
            <a:t>United Kingdom </a:t>
          </a:r>
          <a:r>
            <a:rPr lang="en-US"/>
            <a:t>dominates total transaction volume and total revenue, accounting for over 80% of overall sales.</a:t>
          </a:r>
          <a:r>
            <a:rPr lang="en-US" baseline="0"/>
            <a:t> </a:t>
          </a:r>
          <a:r>
            <a:rPr lang="en-US"/>
            <a:t>While domestic UK orders feature a high volume of small-to-medium basket sizes, international customers (such as those in France and Germany) order in larger bulk quantities per invoice to optimize shipping costs.The two-sample t-test evaluation indicates the structural order value performance between French and German client segments, providing actionable direction on whether regional marketing strategies should be tailored specifically per country.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.b.polackal" refreshedDate="46256.767" createdVersion="8" refreshedVersion="8" minRefreshableVersion="3" recordCount="15" xr:uid="{35D056A0-83AB-4E34-AB22-040FE7A516A2}">
  <cacheSource type="worksheet">
    <worksheetSource ref="A1:I16" sheet="2"/>
  </cacheSource>
  <cacheFields count="9">
    <cacheField name="InvoiceNo" numFmtId="0">
      <sharedItems containsSemiMixedTypes="0" containsString="0" containsNumber="1" containsInteger="1" minValue="536365" maxValue="536409"/>
    </cacheField>
    <cacheField name="StockCode" numFmtId="0">
      <sharedItems containsMixedTypes="1" containsNumber="1" containsInteger="1" minValue="21506" maxValue="82482"/>
    </cacheField>
    <cacheField name="Description" numFmtId="0">
      <sharedItems/>
    </cacheField>
    <cacheField name="Quantity" numFmtId="0">
      <sharedItems containsSemiMixedTypes="0" containsString="0" containsNumber="1" containsInteger="1" minValue="1" maxValue="24"/>
    </cacheField>
    <cacheField name="InvoiceDate" numFmtId="22">
      <sharedItems containsSemiMixedTypes="0" containsNonDate="0" containsDate="1" containsString="0" minDate="2010-12-01T08:26:00" maxDate="2010-12-01T11:45:00"/>
    </cacheField>
    <cacheField name="UnitPrice" numFmtId="170">
      <sharedItems containsSemiMixedTypes="0" containsString="0" containsNumber="1" minValue="0.42" maxValue="12.75"/>
    </cacheField>
    <cacheField name="CustomerID" numFmtId="0">
      <sharedItems containsSemiMixedTypes="0" containsString="0" containsNumber="1" containsInteger="1" minValue="12431" maxValue="17908"/>
    </cacheField>
    <cacheField name="Country" numFmtId="0">
      <sharedItems count="3">
        <s v="United Kingdom"/>
        <s v="France"/>
        <s v="Australia"/>
      </sharedItems>
    </cacheField>
    <cacheField name="Total Sales" numFmtId="169">
      <sharedItems containsSemiMixedTypes="0" containsString="0" containsNumber="1" minValue="2.5499999999999998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.b.polackal" refreshedDate="46256.768211805553" createdVersion="8" refreshedVersion="8" minRefreshableVersion="3" recordCount="15" xr:uid="{06276721-EB39-43C3-93FB-7A49C3720B9F}">
  <cacheSource type="worksheet">
    <worksheetSource ref="A1:I16" sheet="3"/>
  </cacheSource>
  <cacheFields count="9">
    <cacheField name="InvoiceNo" numFmtId="0">
      <sharedItems containsSemiMixedTypes="0" containsString="0" containsNumber="1" containsInteger="1" minValue="536365" maxValue="536409" count="13">
        <n v="536365"/>
        <n v="536366"/>
        <n v="536370"/>
        <n v="536373"/>
        <n v="536375"/>
        <n v="536381"/>
        <n v="536389"/>
        <n v="536390"/>
        <n v="536394"/>
        <n v="536395"/>
        <n v="536396"/>
        <n v="536408"/>
        <n v="536409"/>
      </sharedItems>
    </cacheField>
    <cacheField name="StockCode" numFmtId="0">
      <sharedItems containsMixedTypes="1" containsNumber="1" containsInteger="1" minValue="21506" maxValue="82482"/>
    </cacheField>
    <cacheField name="Description" numFmtId="0">
      <sharedItems/>
    </cacheField>
    <cacheField name="Quantity" numFmtId="0">
      <sharedItems containsSemiMixedTypes="0" containsString="0" containsNumber="1" containsInteger="1" minValue="1" maxValue="24"/>
    </cacheField>
    <cacheField name="InvoiceDate" numFmtId="22">
      <sharedItems containsSemiMixedTypes="0" containsNonDate="0" containsDate="1" containsString="0" minDate="2010-12-01T08:26:00" maxDate="2010-12-01T11:45:00"/>
    </cacheField>
    <cacheField name="UnitPrice" numFmtId="168">
      <sharedItems containsSemiMixedTypes="0" containsString="0" containsNumber="1" minValue="0.42" maxValue="12.75"/>
    </cacheField>
    <cacheField name="CustomerID" numFmtId="0">
      <sharedItems containsSemiMixedTypes="0" containsString="0" containsNumber="1" containsInteger="1" minValue="12431" maxValue="17908"/>
    </cacheField>
    <cacheField name="Country" numFmtId="0">
      <sharedItems count="3">
        <s v="United Kingdom"/>
        <s v="France"/>
        <s v="Australia"/>
      </sharedItems>
    </cacheField>
    <cacheField name="Total Sales" numFmtId="169">
      <sharedItems containsSemiMixedTypes="0" containsString="0" containsNumber="1" minValue="2.5499999999999998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536365"/>
    <s v="85123A"/>
    <s v="WHITE HANGING HEART T-LIGHT HOLDER"/>
    <n v="6"/>
    <d v="2010-12-01T08:26:00"/>
    <n v="2.5499999999999998"/>
    <n v="17850"/>
    <x v="0"/>
    <n v="15.299999999999999"/>
  </r>
  <r>
    <n v="536365"/>
    <n v="71053"/>
    <s v="WHITE METAL LANTERN"/>
    <n v="6"/>
    <d v="2010-12-01T08:26:00"/>
    <n v="3.39"/>
    <n v="17850"/>
    <x v="0"/>
    <n v="20.34"/>
  </r>
  <r>
    <n v="536366"/>
    <n v="22633"/>
    <s v="HAND WARMER UNION JACK"/>
    <n v="6"/>
    <d v="2010-12-01T08:28:00"/>
    <n v="1.85"/>
    <n v="17850"/>
    <x v="0"/>
    <n v="11.100000000000001"/>
  </r>
  <r>
    <n v="536370"/>
    <n v="22728"/>
    <s v="ALARM CLOCK BAKELIKE PINK"/>
    <n v="24"/>
    <d v="2010-12-01T08:45:00"/>
    <n v="3.75"/>
    <n v="12583"/>
    <x v="1"/>
    <n v="90"/>
  </r>
  <r>
    <n v="536373"/>
    <s v="84406B"/>
    <s v="CREAM CUPID HEARTS COAT HANGER"/>
    <n v="8"/>
    <d v="2010-12-01T09:02:00"/>
    <n v="2.75"/>
    <n v="17850"/>
    <x v="0"/>
    <n v="22"/>
  </r>
  <r>
    <n v="536375"/>
    <n v="82482"/>
    <s v="WOODEN PICTURE FRAME WHITE FINISH"/>
    <n v="6"/>
    <d v="2010-12-01T09:32:00"/>
    <n v="2.5499999999999998"/>
    <n v="17850"/>
    <x v="0"/>
    <n v="15.299999999999999"/>
  </r>
  <r>
    <n v="536381"/>
    <n v="21523"/>
    <s v="DOORMAT Fawn"/>
    <n v="1"/>
    <d v="2010-12-01T09:41:00"/>
    <n v="7.95"/>
    <n v="15311"/>
    <x v="0"/>
    <n v="7.95"/>
  </r>
  <r>
    <n v="536381"/>
    <n v="22719"/>
    <s v="GUMBALL COAT RACK"/>
    <n v="1"/>
    <d v="2010-12-01T09:41:00"/>
    <n v="2.5499999999999998"/>
    <n v="15311"/>
    <x v="0"/>
    <n v="2.5499999999999998"/>
  </r>
  <r>
    <n v="536389"/>
    <n v="22727"/>
    <s v="ALARM CLOCK BAKELIKE RED"/>
    <n v="4"/>
    <d v="2010-12-01T10:03:00"/>
    <n v="3.75"/>
    <n v="12431"/>
    <x v="2"/>
    <n v="15"/>
  </r>
  <r>
    <n v="536390"/>
    <n v="22941"/>
    <s v="CHRISTMAS LIGHTS 10 REINDEER"/>
    <n v="2"/>
    <d v="2010-12-01T10:19:00"/>
    <n v="8.5"/>
    <n v="17511"/>
    <x v="0"/>
    <n v="17"/>
  </r>
  <r>
    <n v="536394"/>
    <n v="21506"/>
    <s v="FANCY FONT BIRTHDAY CARD"/>
    <n v="12"/>
    <d v="2010-12-01T10:39:00"/>
    <n v="0.42"/>
    <n v="13408"/>
    <x v="0"/>
    <n v="5.04"/>
  </r>
  <r>
    <n v="536395"/>
    <n v="22180"/>
    <s v="RETROSPOT LAMP"/>
    <n v="8"/>
    <d v="2010-12-01T10:47:00"/>
    <n v="9.9499999999999993"/>
    <n v="13767"/>
    <x v="0"/>
    <n v="79.599999999999994"/>
  </r>
  <r>
    <n v="536396"/>
    <n v="22632"/>
    <s v="HAND WARMER RED RETROSPOT"/>
    <n v="6"/>
    <d v="2010-12-01T10:51:00"/>
    <n v="1.85"/>
    <n v="17850"/>
    <x v="0"/>
    <n v="11.100000000000001"/>
  </r>
  <r>
    <n v="536408"/>
    <n v="22423"/>
    <s v="REGENCY CAKESTAND 3 TIER"/>
    <n v="1"/>
    <d v="2010-12-01T11:41:00"/>
    <n v="12.75"/>
    <n v="14307"/>
    <x v="0"/>
    <n v="12.75"/>
  </r>
  <r>
    <n v="536409"/>
    <n v="22111"/>
    <s v="SCOTTIE DOG WALL CLOCK"/>
    <n v="1"/>
    <d v="2010-12-01T11:45:00"/>
    <n v="3.75"/>
    <n v="17908"/>
    <x v="0"/>
    <n v="3.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85123A"/>
    <s v="WHITE HANGING HEART T-LIGHT HOLDER"/>
    <n v="6"/>
    <d v="2010-12-01T08:26:00"/>
    <n v="2.5499999999999998"/>
    <n v="17850"/>
    <x v="0"/>
    <n v="15.299999999999999"/>
  </r>
  <r>
    <x v="0"/>
    <n v="71053"/>
    <s v="WHITE METAL LANTERN"/>
    <n v="6"/>
    <d v="2010-12-01T08:26:00"/>
    <n v="3.39"/>
    <n v="17850"/>
    <x v="0"/>
    <n v="20.34"/>
  </r>
  <r>
    <x v="1"/>
    <n v="22633"/>
    <s v="HAND WARMER UNION JACK"/>
    <n v="6"/>
    <d v="2010-12-01T08:28:00"/>
    <n v="1.85"/>
    <n v="17850"/>
    <x v="0"/>
    <n v="11.100000000000001"/>
  </r>
  <r>
    <x v="2"/>
    <n v="22728"/>
    <s v="ALARM CLOCK BAKELIKE PINK"/>
    <n v="24"/>
    <d v="2010-12-01T08:45:00"/>
    <n v="3.75"/>
    <n v="12583"/>
    <x v="1"/>
    <n v="90"/>
  </r>
  <r>
    <x v="3"/>
    <s v="84406B"/>
    <s v="CREAM CUPID HEARTS COAT HANGER"/>
    <n v="8"/>
    <d v="2010-12-01T09:02:00"/>
    <n v="2.75"/>
    <n v="17850"/>
    <x v="0"/>
    <n v="22"/>
  </r>
  <r>
    <x v="4"/>
    <n v="82482"/>
    <s v="WOODEN PICTURE FRAME WHITE FINISH"/>
    <n v="6"/>
    <d v="2010-12-01T09:32:00"/>
    <n v="2.5499999999999998"/>
    <n v="17850"/>
    <x v="0"/>
    <n v="15.299999999999999"/>
  </r>
  <r>
    <x v="5"/>
    <n v="21523"/>
    <s v="DOORMAT Fawn"/>
    <n v="1"/>
    <d v="2010-12-01T09:41:00"/>
    <n v="7.95"/>
    <n v="15311"/>
    <x v="0"/>
    <n v="7.95"/>
  </r>
  <r>
    <x v="5"/>
    <n v="22719"/>
    <s v="GUMBALL COAT RACK"/>
    <n v="1"/>
    <d v="2010-12-01T09:41:00"/>
    <n v="2.5499999999999998"/>
    <n v="15311"/>
    <x v="0"/>
    <n v="2.5499999999999998"/>
  </r>
  <r>
    <x v="6"/>
    <n v="22727"/>
    <s v="ALARM CLOCK BAKELIKE RED"/>
    <n v="4"/>
    <d v="2010-12-01T10:03:00"/>
    <n v="3.75"/>
    <n v="12431"/>
    <x v="2"/>
    <n v="15"/>
  </r>
  <r>
    <x v="7"/>
    <n v="22941"/>
    <s v="CHRISTMAS LIGHTS 10 REINDEER"/>
    <n v="2"/>
    <d v="2010-12-01T10:19:00"/>
    <n v="8.5"/>
    <n v="17511"/>
    <x v="0"/>
    <n v="17"/>
  </r>
  <r>
    <x v="8"/>
    <n v="21506"/>
    <s v="FANCY FONT BIRTHDAY CARD"/>
    <n v="12"/>
    <d v="2010-12-01T10:39:00"/>
    <n v="0.42"/>
    <n v="13408"/>
    <x v="0"/>
    <n v="5.04"/>
  </r>
  <r>
    <x v="9"/>
    <n v="22180"/>
    <s v="RETROSPOT LAMP"/>
    <n v="8"/>
    <d v="2010-12-01T10:47:00"/>
    <n v="9.9499999999999993"/>
    <n v="13767"/>
    <x v="0"/>
    <n v="79.599999999999994"/>
  </r>
  <r>
    <x v="10"/>
    <n v="22632"/>
    <s v="HAND WARMER RED RETROSPOT"/>
    <n v="6"/>
    <d v="2010-12-01T10:51:00"/>
    <n v="1.85"/>
    <n v="17850"/>
    <x v="0"/>
    <n v="11.100000000000001"/>
  </r>
  <r>
    <x v="11"/>
    <n v="22423"/>
    <s v="REGENCY CAKESTAND 3 TIER"/>
    <n v="1"/>
    <d v="2010-12-01T11:41:00"/>
    <n v="12.75"/>
    <n v="14307"/>
    <x v="0"/>
    <n v="12.75"/>
  </r>
  <r>
    <x v="12"/>
    <n v="22111"/>
    <s v="SCOTTIE DOG WALL CLOCK"/>
    <n v="1"/>
    <d v="2010-12-01T11:45:00"/>
    <n v="3.75"/>
    <n v="17908"/>
    <x v="0"/>
    <n v="3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58423-1BB7-4B12-8985-7E32BED10940}" name="PivotTable4" cacheId="14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9:B22" firstHeaderRow="1" firstDataRow="1" firstDataCol="1"/>
  <pivotFields count="9">
    <pivotField showAll="0"/>
    <pivotField showAll="0"/>
    <pivotField showAll="0"/>
    <pivotField showAll="0"/>
    <pivotField numFmtId="22" showAll="0"/>
    <pivotField numFmtId="170" showAll="0"/>
    <pivotField showAll="0"/>
    <pivotField axis="axisRow" showAll="0" sortType="descending">
      <items count="4">
        <item x="0"/>
        <item x="1"/>
        <item x="2"/>
        <item t="default"/>
      </items>
    </pivotField>
    <pivotField dataField="1" numFmtId="169"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Total Sales" fld="8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2C144-476F-4B9B-9BBA-9A966D7707FA}" name="PivotTable5" cacheId="1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9:B32" firstHeaderRow="1" firstDataRow="1" firstDataCol="1"/>
  <pivotFields count="9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numFmtId="22" showAll="0"/>
    <pivotField numFmtId="168" showAll="0"/>
    <pivotField showAll="0"/>
    <pivotField showAll="0">
      <items count="4">
        <item x="2"/>
        <item x="1"/>
        <item x="0"/>
        <item t="default"/>
      </items>
    </pivotField>
    <pivotField dataField="1" numFmtId="169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 Sales" fld="8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C453-5437-479F-8A5E-B719CFAE0748}">
  <sheetPr filterMode="1"/>
  <dimension ref="A1:K23"/>
  <sheetViews>
    <sheetView tabSelected="1" workbookViewId="0">
      <selection activeCell="M29" sqref="M29"/>
    </sheetView>
  </sheetViews>
  <sheetFormatPr defaultRowHeight="14.4" x14ac:dyDescent="0.3"/>
  <cols>
    <col min="1" max="1" width="13.77734375" bestFit="1" customWidth="1"/>
    <col min="2" max="2" width="14.5546875" bestFit="1" customWidth="1"/>
    <col min="3" max="3" width="35.33203125" bestFit="1" customWidth="1"/>
    <col min="4" max="4" width="12.5546875" bestFit="1" customWidth="1"/>
    <col min="5" max="5" width="44.44140625" customWidth="1"/>
    <col min="6" max="6" width="13.6640625" bestFit="1" customWidth="1"/>
    <col min="7" max="7" width="15.33203125" bestFit="1" customWidth="1"/>
    <col min="8" max="8" width="13.55468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11" x14ac:dyDescent="0.3">
      <c r="A2" s="1">
        <v>536365</v>
      </c>
      <c r="B2" s="1" t="s">
        <v>8</v>
      </c>
      <c r="C2" s="1" t="s">
        <v>9</v>
      </c>
      <c r="D2" s="1">
        <v>6</v>
      </c>
      <c r="E2" s="2">
        <v>40513.351388888892</v>
      </c>
      <c r="F2" s="18">
        <v>2.5499999999999998</v>
      </c>
      <c r="G2" s="7">
        <v>17850</v>
      </c>
      <c r="H2" s="1" t="s">
        <v>10</v>
      </c>
    </row>
    <row r="3" spans="1:11" x14ac:dyDescent="0.3">
      <c r="A3" s="1">
        <v>536365</v>
      </c>
      <c r="B3" s="1">
        <v>71053</v>
      </c>
      <c r="C3" s="1" t="s">
        <v>11</v>
      </c>
      <c r="D3" s="1">
        <v>6</v>
      </c>
      <c r="E3" s="2">
        <v>40513.351388888892</v>
      </c>
      <c r="F3" s="18">
        <v>3.39</v>
      </c>
      <c r="G3" s="1">
        <v>17850</v>
      </c>
      <c r="H3" s="1" t="s">
        <v>10</v>
      </c>
    </row>
    <row r="4" spans="1:11" x14ac:dyDescent="0.3">
      <c r="A4" s="1">
        <v>536366</v>
      </c>
      <c r="B4" s="1">
        <v>22633</v>
      </c>
      <c r="C4" s="1" t="s">
        <v>12</v>
      </c>
      <c r="D4" s="1">
        <v>6</v>
      </c>
      <c r="E4" s="2">
        <v>40513.352777777778</v>
      </c>
      <c r="F4" s="18">
        <v>1.85</v>
      </c>
      <c r="G4" s="1">
        <v>17850</v>
      </c>
      <c r="H4" s="1" t="s">
        <v>10</v>
      </c>
    </row>
    <row r="5" spans="1:11" hidden="1" x14ac:dyDescent="0.3">
      <c r="A5" s="1">
        <v>536370</v>
      </c>
      <c r="B5" s="1">
        <v>22728</v>
      </c>
      <c r="C5" s="1" t="s">
        <v>13</v>
      </c>
      <c r="D5" s="1">
        <v>24</v>
      </c>
      <c r="E5" s="2">
        <v>40513.364583333336</v>
      </c>
      <c r="F5" s="5">
        <v>3.75</v>
      </c>
      <c r="G5" s="1">
        <v>12583</v>
      </c>
      <c r="H5" s="1" t="s">
        <v>14</v>
      </c>
    </row>
    <row r="6" spans="1:11" x14ac:dyDescent="0.3">
      <c r="A6" s="1">
        <v>536373</v>
      </c>
      <c r="B6" s="1" t="s">
        <v>15</v>
      </c>
      <c r="C6" s="1" t="s">
        <v>16</v>
      </c>
      <c r="D6" s="1">
        <v>8</v>
      </c>
      <c r="E6" s="2">
        <v>40513.376388888886</v>
      </c>
      <c r="F6" s="18">
        <v>2.75</v>
      </c>
      <c r="G6" s="1">
        <v>17850</v>
      </c>
      <c r="H6" s="1" t="s">
        <v>10</v>
      </c>
    </row>
    <row r="7" spans="1:11" x14ac:dyDescent="0.3">
      <c r="A7" s="1">
        <v>536375</v>
      </c>
      <c r="B7" s="1">
        <v>82482</v>
      </c>
      <c r="C7" s="1" t="s">
        <v>17</v>
      </c>
      <c r="D7" s="1">
        <v>6</v>
      </c>
      <c r="E7" s="2">
        <v>40513.397222222222</v>
      </c>
      <c r="F7" s="18">
        <v>2.5499999999999998</v>
      </c>
      <c r="G7" s="1">
        <v>17850</v>
      </c>
      <c r="H7" s="1" t="s">
        <v>10</v>
      </c>
    </row>
    <row r="8" spans="1:11" x14ac:dyDescent="0.3">
      <c r="A8" s="1">
        <v>536381</v>
      </c>
      <c r="B8" s="1">
        <v>21523</v>
      </c>
      <c r="C8" s="1" t="s">
        <v>18</v>
      </c>
      <c r="D8" s="1">
        <v>1</v>
      </c>
      <c r="E8" s="2">
        <v>40513.40347222222</v>
      </c>
      <c r="F8" s="18">
        <v>7.95</v>
      </c>
      <c r="G8" s="7">
        <v>15311</v>
      </c>
      <c r="H8" s="1" t="s">
        <v>10</v>
      </c>
    </row>
    <row r="9" spans="1:11" x14ac:dyDescent="0.3">
      <c r="A9" s="1">
        <v>536381</v>
      </c>
      <c r="B9" s="1">
        <v>22719</v>
      </c>
      <c r="C9" s="1" t="s">
        <v>19</v>
      </c>
      <c r="D9" s="1">
        <v>1</v>
      </c>
      <c r="E9" s="2">
        <v>40513.40347222222</v>
      </c>
      <c r="F9" s="18">
        <v>2.5499999999999998</v>
      </c>
      <c r="G9" s="1">
        <v>15311</v>
      </c>
      <c r="H9" s="1" t="s">
        <v>10</v>
      </c>
      <c r="K9" s="6"/>
    </row>
    <row r="10" spans="1:11" hidden="1" x14ac:dyDescent="0.3">
      <c r="A10" s="1">
        <v>536389</v>
      </c>
      <c r="B10" s="1">
        <v>22727</v>
      </c>
      <c r="C10" s="1" t="s">
        <v>20</v>
      </c>
      <c r="D10" s="1">
        <v>4</v>
      </c>
      <c r="E10" s="2">
        <v>40513.418749999997</v>
      </c>
      <c r="F10" s="5">
        <v>3.75</v>
      </c>
      <c r="G10" s="1">
        <v>12431</v>
      </c>
      <c r="H10" s="1" t="s">
        <v>47</v>
      </c>
    </row>
    <row r="11" spans="1:11" x14ac:dyDescent="0.3">
      <c r="A11" s="1">
        <v>536390</v>
      </c>
      <c r="B11" s="1">
        <v>22941</v>
      </c>
      <c r="C11" s="1" t="s">
        <v>22</v>
      </c>
      <c r="D11" s="1">
        <v>2</v>
      </c>
      <c r="E11" s="2">
        <v>40513.429861111108</v>
      </c>
      <c r="F11" s="18">
        <v>8.5</v>
      </c>
      <c r="G11" s="7">
        <v>17511</v>
      </c>
      <c r="H11" s="1" t="s">
        <v>10</v>
      </c>
    </row>
    <row r="12" spans="1:11" x14ac:dyDescent="0.3">
      <c r="A12" s="1">
        <v>536394</v>
      </c>
      <c r="B12" s="1">
        <v>21506</v>
      </c>
      <c r="C12" s="1" t="s">
        <v>23</v>
      </c>
      <c r="D12" s="1">
        <v>12</v>
      </c>
      <c r="E12" s="2">
        <v>40513.443749999999</v>
      </c>
      <c r="F12" s="18">
        <v>0.42</v>
      </c>
      <c r="G12" s="7">
        <v>13408</v>
      </c>
      <c r="H12" s="1" t="s">
        <v>10</v>
      </c>
    </row>
    <row r="13" spans="1:11" x14ac:dyDescent="0.3">
      <c r="A13" s="1">
        <v>536395</v>
      </c>
      <c r="B13" s="1">
        <v>22180</v>
      </c>
      <c r="C13" s="1" t="s">
        <v>24</v>
      </c>
      <c r="D13" s="1">
        <v>8</v>
      </c>
      <c r="E13" s="2">
        <v>40513.449305555558</v>
      </c>
      <c r="F13" s="18">
        <v>9.9499999999999993</v>
      </c>
      <c r="G13" s="7">
        <v>13767</v>
      </c>
      <c r="H13" s="1" t="s">
        <v>10</v>
      </c>
    </row>
    <row r="14" spans="1:11" x14ac:dyDescent="0.3">
      <c r="A14" s="1">
        <v>536396</v>
      </c>
      <c r="B14" s="1">
        <v>22632</v>
      </c>
      <c r="C14" s="1" t="s">
        <v>25</v>
      </c>
      <c r="D14" s="1">
        <v>6</v>
      </c>
      <c r="E14" s="2">
        <v>40513.45208333333</v>
      </c>
      <c r="F14" s="18">
        <v>1.85</v>
      </c>
      <c r="G14" s="1">
        <v>17850</v>
      </c>
      <c r="H14" s="1" t="s">
        <v>10</v>
      </c>
    </row>
    <row r="15" spans="1:11" x14ac:dyDescent="0.3">
      <c r="A15" s="1">
        <v>536408</v>
      </c>
      <c r="B15" s="1">
        <v>22423</v>
      </c>
      <c r="C15" s="1" t="s">
        <v>26</v>
      </c>
      <c r="D15" s="1">
        <v>1</v>
      </c>
      <c r="E15" s="2">
        <v>40513.486805555556</v>
      </c>
      <c r="F15" s="18">
        <v>12.75</v>
      </c>
      <c r="G15" s="7">
        <v>14307</v>
      </c>
      <c r="H15" s="1" t="s">
        <v>10</v>
      </c>
    </row>
    <row r="16" spans="1:11" x14ac:dyDescent="0.3">
      <c r="A16" s="1">
        <v>536409</v>
      </c>
      <c r="B16" s="1">
        <v>22111</v>
      </c>
      <c r="C16" s="1" t="s">
        <v>27</v>
      </c>
      <c r="D16" s="1">
        <v>1</v>
      </c>
      <c r="E16" s="2">
        <v>40513.489583333336</v>
      </c>
      <c r="F16" s="18">
        <v>3.75</v>
      </c>
      <c r="G16" s="7">
        <v>17908</v>
      </c>
      <c r="H16" s="1" t="s">
        <v>10</v>
      </c>
    </row>
    <row r="23" spans="5:6" x14ac:dyDescent="0.3">
      <c r="E23" s="8" t="s">
        <v>28</v>
      </c>
      <c r="F23" s="9" cm="1">
        <f t="array" ref="F23">COUNTA(_xlfn.UNIQUE(_xlfn._xlws.FILTER(G2:G16, H2:H16="United Kingdom")))</f>
        <v>7</v>
      </c>
    </row>
  </sheetData>
  <autoFilter ref="A1:H16" xr:uid="{C031C453-5437-479F-8A5E-B719CFAE0748}">
    <filterColumn colId="7">
      <filters>
        <filter val="United Kingdo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ECB6-5FA9-4E8E-B848-922D6F3773C1}">
  <dimension ref="A1:I22"/>
  <sheetViews>
    <sheetView workbookViewId="0">
      <selection activeCell="H11" sqref="H11"/>
    </sheetView>
  </sheetViews>
  <sheetFormatPr defaultRowHeight="14.4" x14ac:dyDescent="0.3"/>
  <cols>
    <col min="1" max="1" width="13.5546875" bestFit="1" customWidth="1"/>
    <col min="2" max="2" width="16.109375" bestFit="1" customWidth="1"/>
    <col min="3" max="3" width="35.33203125" bestFit="1" customWidth="1"/>
    <col min="4" max="4" width="12.5546875" bestFit="1" customWidth="1"/>
    <col min="5" max="5" width="15.33203125" bestFit="1" customWidth="1"/>
    <col min="6" max="6" width="14.5546875" bestFit="1" customWidth="1"/>
    <col min="7" max="7" width="15.33203125" bestFit="1" customWidth="1"/>
    <col min="8" max="8" width="13.5546875" bestFit="1" customWidth="1"/>
    <col min="9" max="9" width="15.5546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7" t="s">
        <v>5</v>
      </c>
      <c r="G1" s="3" t="s">
        <v>6</v>
      </c>
      <c r="H1" s="3" t="s">
        <v>7</v>
      </c>
      <c r="I1" s="15" t="s">
        <v>29</v>
      </c>
    </row>
    <row r="2" spans="1:9" x14ac:dyDescent="0.3">
      <c r="A2" s="1">
        <v>536365</v>
      </c>
      <c r="B2" s="1" t="s">
        <v>8</v>
      </c>
      <c r="C2" s="1" t="s">
        <v>9</v>
      </c>
      <c r="D2" s="1">
        <v>6</v>
      </c>
      <c r="E2" s="2">
        <v>40513.351388888892</v>
      </c>
      <c r="F2" s="18">
        <v>2.5499999999999998</v>
      </c>
      <c r="G2" s="10">
        <v>17850</v>
      </c>
      <c r="H2" s="1" t="s">
        <v>10</v>
      </c>
      <c r="I2" s="16">
        <f>D2*F2</f>
        <v>15.299999999999999</v>
      </c>
    </row>
    <row r="3" spans="1:9" x14ac:dyDescent="0.3">
      <c r="A3" s="1">
        <v>536365</v>
      </c>
      <c r="B3" s="1">
        <v>71053</v>
      </c>
      <c r="C3" s="1" t="s">
        <v>11</v>
      </c>
      <c r="D3" s="1">
        <v>6</v>
      </c>
      <c r="E3" s="2">
        <v>40513.351388888892</v>
      </c>
      <c r="F3" s="18">
        <v>3.39</v>
      </c>
      <c r="G3" s="1">
        <v>17850</v>
      </c>
      <c r="H3" s="1" t="s">
        <v>10</v>
      </c>
      <c r="I3" s="16">
        <f t="shared" ref="I3:I16" si="0">D3*F3</f>
        <v>20.34</v>
      </c>
    </row>
    <row r="4" spans="1:9" x14ac:dyDescent="0.3">
      <c r="A4" s="1">
        <v>536366</v>
      </c>
      <c r="B4" s="1">
        <v>22633</v>
      </c>
      <c r="C4" s="1" t="s">
        <v>12</v>
      </c>
      <c r="D4" s="1">
        <v>6</v>
      </c>
      <c r="E4" s="2">
        <v>40513.352777777778</v>
      </c>
      <c r="F4" s="18">
        <v>1.85</v>
      </c>
      <c r="G4" s="1">
        <v>17850</v>
      </c>
      <c r="H4" s="1" t="s">
        <v>10</v>
      </c>
      <c r="I4" s="16">
        <f t="shared" si="0"/>
        <v>11.100000000000001</v>
      </c>
    </row>
    <row r="5" spans="1:9" x14ac:dyDescent="0.3">
      <c r="A5" s="1">
        <v>536370</v>
      </c>
      <c r="B5" s="1">
        <v>22728</v>
      </c>
      <c r="C5" s="1" t="s">
        <v>13</v>
      </c>
      <c r="D5" s="1">
        <v>24</v>
      </c>
      <c r="E5" s="2">
        <v>40513.364583333336</v>
      </c>
      <c r="F5" s="18">
        <v>3.75</v>
      </c>
      <c r="G5" s="1">
        <v>12583</v>
      </c>
      <c r="H5" s="1" t="s">
        <v>14</v>
      </c>
      <c r="I5" s="16">
        <f t="shared" si="0"/>
        <v>90</v>
      </c>
    </row>
    <row r="6" spans="1:9" x14ac:dyDescent="0.3">
      <c r="A6" s="1">
        <v>536373</v>
      </c>
      <c r="B6" s="1" t="s">
        <v>15</v>
      </c>
      <c r="C6" s="1" t="s">
        <v>16</v>
      </c>
      <c r="D6" s="1">
        <v>8</v>
      </c>
      <c r="E6" s="2">
        <v>40513.376388888886</v>
      </c>
      <c r="F6" s="18">
        <v>2.75</v>
      </c>
      <c r="G6" s="1">
        <v>17850</v>
      </c>
      <c r="H6" s="1" t="s">
        <v>10</v>
      </c>
      <c r="I6" s="16">
        <f t="shared" si="0"/>
        <v>22</v>
      </c>
    </row>
    <row r="7" spans="1:9" x14ac:dyDescent="0.3">
      <c r="A7" s="1">
        <v>536375</v>
      </c>
      <c r="B7" s="1">
        <v>82482</v>
      </c>
      <c r="C7" s="1" t="s">
        <v>17</v>
      </c>
      <c r="D7" s="1">
        <v>6</v>
      </c>
      <c r="E7" s="2">
        <v>40513.397222222222</v>
      </c>
      <c r="F7" s="18">
        <v>2.5499999999999998</v>
      </c>
      <c r="G7" s="1">
        <v>17850</v>
      </c>
      <c r="H7" s="1" t="s">
        <v>10</v>
      </c>
      <c r="I7" s="16">
        <f t="shared" si="0"/>
        <v>15.299999999999999</v>
      </c>
    </row>
    <row r="8" spans="1:9" x14ac:dyDescent="0.3">
      <c r="A8" s="1">
        <v>536381</v>
      </c>
      <c r="B8" s="1">
        <v>21523</v>
      </c>
      <c r="C8" s="1" t="s">
        <v>18</v>
      </c>
      <c r="D8" s="1">
        <v>1</v>
      </c>
      <c r="E8" s="2">
        <v>40513.40347222222</v>
      </c>
      <c r="F8" s="18">
        <v>7.95</v>
      </c>
      <c r="G8" s="10">
        <v>15311</v>
      </c>
      <c r="H8" s="1" t="s">
        <v>10</v>
      </c>
      <c r="I8" s="16">
        <f t="shared" si="0"/>
        <v>7.95</v>
      </c>
    </row>
    <row r="9" spans="1:9" x14ac:dyDescent="0.3">
      <c r="A9" s="1">
        <v>536381</v>
      </c>
      <c r="B9" s="1">
        <v>22719</v>
      </c>
      <c r="C9" s="1" t="s">
        <v>19</v>
      </c>
      <c r="D9" s="1">
        <v>1</v>
      </c>
      <c r="E9" s="2">
        <v>40513.40347222222</v>
      </c>
      <c r="F9" s="18">
        <v>2.5499999999999998</v>
      </c>
      <c r="G9" s="10">
        <v>15311</v>
      </c>
      <c r="H9" s="1" t="s">
        <v>10</v>
      </c>
      <c r="I9" s="16">
        <f t="shared" si="0"/>
        <v>2.5499999999999998</v>
      </c>
    </row>
    <row r="10" spans="1:9" x14ac:dyDescent="0.3">
      <c r="A10" s="1">
        <v>536389</v>
      </c>
      <c r="B10" s="1">
        <v>22727</v>
      </c>
      <c r="C10" s="1" t="s">
        <v>20</v>
      </c>
      <c r="D10" s="1">
        <v>4</v>
      </c>
      <c r="E10" s="2">
        <v>40513.418749999997</v>
      </c>
      <c r="F10" s="18">
        <v>3.75</v>
      </c>
      <c r="G10" s="10">
        <v>12431</v>
      </c>
      <c r="H10" s="1" t="s">
        <v>47</v>
      </c>
      <c r="I10" s="16">
        <f t="shared" si="0"/>
        <v>15</v>
      </c>
    </row>
    <row r="11" spans="1:9" x14ac:dyDescent="0.3">
      <c r="A11" s="1">
        <v>536390</v>
      </c>
      <c r="B11" s="1">
        <v>22941</v>
      </c>
      <c r="C11" s="1" t="s">
        <v>22</v>
      </c>
      <c r="D11" s="1">
        <v>2</v>
      </c>
      <c r="E11" s="2">
        <v>40513.429861111108</v>
      </c>
      <c r="F11" s="18">
        <v>8.5</v>
      </c>
      <c r="G11" s="10">
        <v>17511</v>
      </c>
      <c r="H11" s="1" t="s">
        <v>10</v>
      </c>
      <c r="I11" s="16">
        <f t="shared" si="0"/>
        <v>17</v>
      </c>
    </row>
    <row r="12" spans="1:9" x14ac:dyDescent="0.3">
      <c r="A12" s="1">
        <v>536394</v>
      </c>
      <c r="B12" s="1">
        <v>21506</v>
      </c>
      <c r="C12" s="1" t="s">
        <v>23</v>
      </c>
      <c r="D12" s="1">
        <v>12</v>
      </c>
      <c r="E12" s="2">
        <v>40513.443749999999</v>
      </c>
      <c r="F12" s="18">
        <v>0.42</v>
      </c>
      <c r="G12" s="10">
        <v>13408</v>
      </c>
      <c r="H12" s="1" t="s">
        <v>10</v>
      </c>
      <c r="I12" s="16">
        <f t="shared" si="0"/>
        <v>5.04</v>
      </c>
    </row>
    <row r="13" spans="1:9" x14ac:dyDescent="0.3">
      <c r="A13" s="1">
        <v>536395</v>
      </c>
      <c r="B13" s="1">
        <v>22180</v>
      </c>
      <c r="C13" s="1" t="s">
        <v>24</v>
      </c>
      <c r="D13" s="1">
        <v>8</v>
      </c>
      <c r="E13" s="2">
        <v>40513.449305555558</v>
      </c>
      <c r="F13" s="18">
        <v>9.9499999999999993</v>
      </c>
      <c r="G13" s="10">
        <v>13767</v>
      </c>
      <c r="H13" s="1" t="s">
        <v>10</v>
      </c>
      <c r="I13" s="16">
        <f t="shared" si="0"/>
        <v>79.599999999999994</v>
      </c>
    </row>
    <row r="14" spans="1:9" x14ac:dyDescent="0.3">
      <c r="A14" s="1">
        <v>536396</v>
      </c>
      <c r="B14" s="1">
        <v>22632</v>
      </c>
      <c r="C14" s="1" t="s">
        <v>25</v>
      </c>
      <c r="D14" s="1">
        <v>6</v>
      </c>
      <c r="E14" s="2">
        <v>40513.45208333333</v>
      </c>
      <c r="F14" s="18">
        <v>1.85</v>
      </c>
      <c r="G14" s="10">
        <v>17850</v>
      </c>
      <c r="H14" s="1" t="s">
        <v>10</v>
      </c>
      <c r="I14" s="16">
        <f t="shared" si="0"/>
        <v>11.100000000000001</v>
      </c>
    </row>
    <row r="15" spans="1:9" x14ac:dyDescent="0.3">
      <c r="A15" s="1">
        <v>536408</v>
      </c>
      <c r="B15" s="1">
        <v>22423</v>
      </c>
      <c r="C15" s="1" t="s">
        <v>26</v>
      </c>
      <c r="D15" s="1">
        <v>1</v>
      </c>
      <c r="E15" s="2">
        <v>40513.486805555556</v>
      </c>
      <c r="F15" s="18">
        <v>12.75</v>
      </c>
      <c r="G15" s="10">
        <v>14307</v>
      </c>
      <c r="H15" s="1" t="s">
        <v>10</v>
      </c>
      <c r="I15" s="16">
        <f t="shared" si="0"/>
        <v>12.75</v>
      </c>
    </row>
    <row r="16" spans="1:9" x14ac:dyDescent="0.3">
      <c r="A16" s="1">
        <v>536409</v>
      </c>
      <c r="B16" s="1">
        <v>22111</v>
      </c>
      <c r="C16" s="1" t="s">
        <v>27</v>
      </c>
      <c r="D16" s="1">
        <v>1</v>
      </c>
      <c r="E16" s="2">
        <v>40513.489583333336</v>
      </c>
      <c r="F16" s="18">
        <v>3.75</v>
      </c>
      <c r="G16" s="10">
        <v>17908</v>
      </c>
      <c r="H16" s="1" t="s">
        <v>10</v>
      </c>
      <c r="I16" s="16">
        <f t="shared" si="0"/>
        <v>3.75</v>
      </c>
    </row>
    <row r="19" spans="1:2" x14ac:dyDescent="0.3">
      <c r="A19" s="11" t="s">
        <v>30</v>
      </c>
      <c r="B19" t="s">
        <v>31</v>
      </c>
    </row>
    <row r="20" spans="1:2" x14ac:dyDescent="0.3">
      <c r="A20" s="12" t="s">
        <v>10</v>
      </c>
      <c r="B20" s="19">
        <v>223.78</v>
      </c>
    </row>
    <row r="21" spans="1:2" x14ac:dyDescent="0.3">
      <c r="A21" s="12" t="s">
        <v>14</v>
      </c>
      <c r="B21" s="19">
        <v>90</v>
      </c>
    </row>
    <row r="22" spans="1:2" x14ac:dyDescent="0.3">
      <c r="A22" s="12" t="s">
        <v>21</v>
      </c>
      <c r="B22" s="19">
        <v>15</v>
      </c>
    </row>
  </sheetData>
  <autoFilter ref="A1:I16" xr:uid="{6D93ECB6-5FA9-4E8E-B848-922D6F3773C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C326-50AE-48DB-82A7-E0D90255DB4D}">
  <dimension ref="A1:I34"/>
  <sheetViews>
    <sheetView workbookViewId="0">
      <selection activeCell="E23" sqref="E23"/>
    </sheetView>
  </sheetViews>
  <sheetFormatPr defaultRowHeight="14.4" x14ac:dyDescent="0.3"/>
  <cols>
    <col min="1" max="1" width="17.21875" bestFit="1" customWidth="1"/>
    <col min="2" max="2" width="10.109375" bestFit="1" customWidth="1"/>
    <col min="3" max="3" width="35.33203125" bestFit="1" customWidth="1"/>
    <col min="4" max="4" width="8.109375" bestFit="1" customWidth="1"/>
    <col min="5" max="5" width="14.33203125" bestFit="1" customWidth="1"/>
    <col min="6" max="6" width="10.109375" bestFit="1" customWidth="1"/>
    <col min="7" max="7" width="10.88671875" bestFit="1" customWidth="1"/>
    <col min="8" max="8" width="13.5546875" bestFit="1" customWidth="1"/>
    <col min="9" max="9" width="10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3" t="s">
        <v>5</v>
      </c>
      <c r="G1" s="3" t="s">
        <v>6</v>
      </c>
      <c r="H1" s="3" t="s">
        <v>7</v>
      </c>
      <c r="I1" s="15" t="s">
        <v>29</v>
      </c>
    </row>
    <row r="2" spans="1:9" x14ac:dyDescent="0.3">
      <c r="A2" s="1">
        <v>536365</v>
      </c>
      <c r="B2" s="1" t="s">
        <v>8</v>
      </c>
      <c r="C2" s="1" t="s">
        <v>9</v>
      </c>
      <c r="D2" s="1">
        <v>6</v>
      </c>
      <c r="E2" s="2">
        <v>40513.351388888892</v>
      </c>
      <c r="F2" s="14">
        <v>2.5499999999999998</v>
      </c>
      <c r="G2" s="10">
        <v>17850</v>
      </c>
      <c r="H2" s="1" t="s">
        <v>10</v>
      </c>
      <c r="I2" s="16">
        <f>D2*F2</f>
        <v>15.299999999999999</v>
      </c>
    </row>
    <row r="3" spans="1:9" x14ac:dyDescent="0.3">
      <c r="A3" s="1">
        <v>536365</v>
      </c>
      <c r="B3" s="1">
        <v>71053</v>
      </c>
      <c r="C3" s="1" t="s">
        <v>11</v>
      </c>
      <c r="D3" s="1">
        <v>6</v>
      </c>
      <c r="E3" s="2">
        <v>40513.351388888892</v>
      </c>
      <c r="F3" s="14">
        <v>3.39</v>
      </c>
      <c r="G3" s="1">
        <v>17850</v>
      </c>
      <c r="H3" s="1" t="s">
        <v>10</v>
      </c>
      <c r="I3" s="16">
        <f t="shared" ref="I3:I16" si="0">D3*F3</f>
        <v>20.34</v>
      </c>
    </row>
    <row r="4" spans="1:9" x14ac:dyDescent="0.3">
      <c r="A4" s="1">
        <v>536366</v>
      </c>
      <c r="B4" s="1">
        <v>22633</v>
      </c>
      <c r="C4" s="1" t="s">
        <v>12</v>
      </c>
      <c r="D4" s="1">
        <v>6</v>
      </c>
      <c r="E4" s="2">
        <v>40513.352777777778</v>
      </c>
      <c r="F4" s="14">
        <v>1.85</v>
      </c>
      <c r="G4" s="1">
        <v>17850</v>
      </c>
      <c r="H4" s="1" t="s">
        <v>10</v>
      </c>
      <c r="I4" s="16">
        <f t="shared" si="0"/>
        <v>11.100000000000001</v>
      </c>
    </row>
    <row r="5" spans="1:9" x14ac:dyDescent="0.3">
      <c r="A5" s="1">
        <v>536370</v>
      </c>
      <c r="B5" s="1">
        <v>22728</v>
      </c>
      <c r="C5" s="1" t="s">
        <v>13</v>
      </c>
      <c r="D5" s="1">
        <v>24</v>
      </c>
      <c r="E5" s="2">
        <v>40513.364583333336</v>
      </c>
      <c r="F5" s="14">
        <v>3.75</v>
      </c>
      <c r="G5" s="1">
        <v>12583</v>
      </c>
      <c r="H5" s="1" t="s">
        <v>14</v>
      </c>
      <c r="I5" s="16">
        <f t="shared" si="0"/>
        <v>90</v>
      </c>
    </row>
    <row r="6" spans="1:9" x14ac:dyDescent="0.3">
      <c r="A6" s="1">
        <v>536373</v>
      </c>
      <c r="B6" s="1" t="s">
        <v>15</v>
      </c>
      <c r="C6" s="1" t="s">
        <v>16</v>
      </c>
      <c r="D6" s="1">
        <v>8</v>
      </c>
      <c r="E6" s="2">
        <v>40513.376388888886</v>
      </c>
      <c r="F6" s="14">
        <v>2.75</v>
      </c>
      <c r="G6" s="1">
        <v>17850</v>
      </c>
      <c r="H6" s="1" t="s">
        <v>10</v>
      </c>
      <c r="I6" s="16">
        <f t="shared" si="0"/>
        <v>22</v>
      </c>
    </row>
    <row r="7" spans="1:9" x14ac:dyDescent="0.3">
      <c r="A7" s="1">
        <v>536375</v>
      </c>
      <c r="B7" s="1">
        <v>82482</v>
      </c>
      <c r="C7" s="1" t="s">
        <v>17</v>
      </c>
      <c r="D7" s="1">
        <v>6</v>
      </c>
      <c r="E7" s="2">
        <v>40513.397222222222</v>
      </c>
      <c r="F7" s="14">
        <v>2.5499999999999998</v>
      </c>
      <c r="G7" s="1">
        <v>17850</v>
      </c>
      <c r="H7" s="1" t="s">
        <v>10</v>
      </c>
      <c r="I7" s="16">
        <f t="shared" si="0"/>
        <v>15.299999999999999</v>
      </c>
    </row>
    <row r="8" spans="1:9" x14ac:dyDescent="0.3">
      <c r="A8" s="1">
        <v>536381</v>
      </c>
      <c r="B8" s="1">
        <v>21523</v>
      </c>
      <c r="C8" s="1" t="s">
        <v>18</v>
      </c>
      <c r="D8" s="1">
        <v>1</v>
      </c>
      <c r="E8" s="2">
        <v>40513.40347222222</v>
      </c>
      <c r="F8" s="14">
        <v>7.95</v>
      </c>
      <c r="G8" s="10">
        <v>15311</v>
      </c>
      <c r="H8" s="1" t="s">
        <v>10</v>
      </c>
      <c r="I8" s="16">
        <f t="shared" si="0"/>
        <v>7.95</v>
      </c>
    </row>
    <row r="9" spans="1:9" x14ac:dyDescent="0.3">
      <c r="A9" s="1">
        <v>536381</v>
      </c>
      <c r="B9" s="1">
        <v>22719</v>
      </c>
      <c r="C9" s="1" t="s">
        <v>19</v>
      </c>
      <c r="D9" s="1">
        <v>1</v>
      </c>
      <c r="E9" s="2">
        <v>40513.40347222222</v>
      </c>
      <c r="F9" s="14">
        <v>2.5499999999999998</v>
      </c>
      <c r="G9" s="10">
        <v>15311</v>
      </c>
      <c r="H9" s="1" t="s">
        <v>10</v>
      </c>
      <c r="I9" s="16">
        <f t="shared" si="0"/>
        <v>2.5499999999999998</v>
      </c>
    </row>
    <row r="10" spans="1:9" x14ac:dyDescent="0.3">
      <c r="A10" s="1">
        <v>536389</v>
      </c>
      <c r="B10" s="1">
        <v>22727</v>
      </c>
      <c r="C10" s="1" t="s">
        <v>20</v>
      </c>
      <c r="D10" s="1">
        <v>4</v>
      </c>
      <c r="E10" s="2">
        <v>40513.418749999997</v>
      </c>
      <c r="F10" s="14">
        <v>3.75</v>
      </c>
      <c r="G10" s="10">
        <v>12431</v>
      </c>
      <c r="H10" s="1" t="s">
        <v>47</v>
      </c>
      <c r="I10" s="16">
        <f t="shared" si="0"/>
        <v>15</v>
      </c>
    </row>
    <row r="11" spans="1:9" x14ac:dyDescent="0.3">
      <c r="A11" s="1">
        <v>536390</v>
      </c>
      <c r="B11" s="1">
        <v>22941</v>
      </c>
      <c r="C11" s="1" t="s">
        <v>22</v>
      </c>
      <c r="D11" s="1">
        <v>2</v>
      </c>
      <c r="E11" s="2">
        <v>40513.429861111108</v>
      </c>
      <c r="F11" s="14">
        <v>8.5</v>
      </c>
      <c r="G11" s="10">
        <v>17511</v>
      </c>
      <c r="H11" s="1" t="s">
        <v>10</v>
      </c>
      <c r="I11" s="16">
        <f t="shared" si="0"/>
        <v>17</v>
      </c>
    </row>
    <row r="12" spans="1:9" x14ac:dyDescent="0.3">
      <c r="A12" s="1">
        <v>536394</v>
      </c>
      <c r="B12" s="1">
        <v>21506</v>
      </c>
      <c r="C12" s="1" t="s">
        <v>23</v>
      </c>
      <c r="D12" s="1">
        <v>12</v>
      </c>
      <c r="E12" s="2">
        <v>40513.443749999999</v>
      </c>
      <c r="F12" s="14">
        <v>0.42</v>
      </c>
      <c r="G12" s="10">
        <v>13408</v>
      </c>
      <c r="H12" s="1" t="s">
        <v>10</v>
      </c>
      <c r="I12" s="16">
        <f t="shared" si="0"/>
        <v>5.04</v>
      </c>
    </row>
    <row r="13" spans="1:9" x14ac:dyDescent="0.3">
      <c r="A13" s="1">
        <v>536395</v>
      </c>
      <c r="B13" s="1">
        <v>22180</v>
      </c>
      <c r="C13" s="1" t="s">
        <v>24</v>
      </c>
      <c r="D13" s="1">
        <v>8</v>
      </c>
      <c r="E13" s="2">
        <v>40513.449305555558</v>
      </c>
      <c r="F13" s="14">
        <v>9.9499999999999993</v>
      </c>
      <c r="G13" s="10">
        <v>13767</v>
      </c>
      <c r="H13" s="1" t="s">
        <v>10</v>
      </c>
      <c r="I13" s="16">
        <f t="shared" si="0"/>
        <v>79.599999999999994</v>
      </c>
    </row>
    <row r="14" spans="1:9" x14ac:dyDescent="0.3">
      <c r="A14" s="1">
        <v>536396</v>
      </c>
      <c r="B14" s="1">
        <v>22632</v>
      </c>
      <c r="C14" s="1" t="s">
        <v>25</v>
      </c>
      <c r="D14" s="1">
        <v>6</v>
      </c>
      <c r="E14" s="2">
        <v>40513.45208333333</v>
      </c>
      <c r="F14" s="14">
        <v>1.85</v>
      </c>
      <c r="G14" s="10">
        <v>17850</v>
      </c>
      <c r="H14" s="1" t="s">
        <v>10</v>
      </c>
      <c r="I14" s="16">
        <f t="shared" si="0"/>
        <v>11.100000000000001</v>
      </c>
    </row>
    <row r="15" spans="1:9" x14ac:dyDescent="0.3">
      <c r="A15" s="1">
        <v>536408</v>
      </c>
      <c r="B15" s="1">
        <v>22423</v>
      </c>
      <c r="C15" s="1" t="s">
        <v>26</v>
      </c>
      <c r="D15" s="1">
        <v>1</v>
      </c>
      <c r="E15" s="2">
        <v>40513.486805555556</v>
      </c>
      <c r="F15" s="14">
        <v>12.75</v>
      </c>
      <c r="G15" s="10">
        <v>14307</v>
      </c>
      <c r="H15" s="1" t="s">
        <v>10</v>
      </c>
      <c r="I15" s="16">
        <f t="shared" si="0"/>
        <v>12.75</v>
      </c>
    </row>
    <row r="16" spans="1:9" x14ac:dyDescent="0.3">
      <c r="A16" s="1">
        <v>536409</v>
      </c>
      <c r="B16" s="1">
        <v>22111</v>
      </c>
      <c r="C16" s="1" t="s">
        <v>27</v>
      </c>
      <c r="D16" s="1">
        <v>1</v>
      </c>
      <c r="E16" s="2">
        <v>40513.489583333336</v>
      </c>
      <c r="F16" s="14">
        <v>3.75</v>
      </c>
      <c r="G16" s="10">
        <v>17908</v>
      </c>
      <c r="H16" s="1" t="s">
        <v>10</v>
      </c>
      <c r="I16" s="16">
        <f t="shared" si="0"/>
        <v>3.75</v>
      </c>
    </row>
    <row r="19" spans="1:2" x14ac:dyDescent="0.3">
      <c r="A19" s="11" t="s">
        <v>30</v>
      </c>
      <c r="B19" t="s">
        <v>32</v>
      </c>
    </row>
    <row r="20" spans="1:2" x14ac:dyDescent="0.3">
      <c r="A20" s="12">
        <v>536365</v>
      </c>
      <c r="B20" s="19">
        <v>35.64</v>
      </c>
    </row>
    <row r="21" spans="1:2" x14ac:dyDescent="0.3">
      <c r="A21" s="12">
        <v>536366</v>
      </c>
      <c r="B21" s="19">
        <v>11.100000000000001</v>
      </c>
    </row>
    <row r="22" spans="1:2" x14ac:dyDescent="0.3">
      <c r="A22" s="12">
        <v>536370</v>
      </c>
      <c r="B22" s="19">
        <v>90</v>
      </c>
    </row>
    <row r="23" spans="1:2" x14ac:dyDescent="0.3">
      <c r="A23" s="12">
        <v>536373</v>
      </c>
      <c r="B23" s="19">
        <v>22</v>
      </c>
    </row>
    <row r="24" spans="1:2" x14ac:dyDescent="0.3">
      <c r="A24" s="12">
        <v>536375</v>
      </c>
      <c r="B24" s="19">
        <v>15.299999999999999</v>
      </c>
    </row>
    <row r="25" spans="1:2" x14ac:dyDescent="0.3">
      <c r="A25" s="12">
        <v>536381</v>
      </c>
      <c r="B25" s="19">
        <v>10.5</v>
      </c>
    </row>
    <row r="26" spans="1:2" x14ac:dyDescent="0.3">
      <c r="A26" s="12">
        <v>536389</v>
      </c>
      <c r="B26" s="19">
        <v>15</v>
      </c>
    </row>
    <row r="27" spans="1:2" x14ac:dyDescent="0.3">
      <c r="A27" s="12">
        <v>536390</v>
      </c>
      <c r="B27" s="19">
        <v>17</v>
      </c>
    </row>
    <row r="28" spans="1:2" x14ac:dyDescent="0.3">
      <c r="A28" s="12">
        <v>536394</v>
      </c>
      <c r="B28" s="19">
        <v>5.04</v>
      </c>
    </row>
    <row r="29" spans="1:2" x14ac:dyDescent="0.3">
      <c r="A29" s="12">
        <v>536395</v>
      </c>
      <c r="B29" s="19">
        <v>79.599999999999994</v>
      </c>
    </row>
    <row r="30" spans="1:2" x14ac:dyDescent="0.3">
      <c r="A30" s="12">
        <v>536396</v>
      </c>
      <c r="B30" s="19">
        <v>11.100000000000001</v>
      </c>
    </row>
    <row r="31" spans="1:2" x14ac:dyDescent="0.3">
      <c r="A31" s="12">
        <v>536408</v>
      </c>
      <c r="B31" s="19">
        <v>12.75</v>
      </c>
    </row>
    <row r="32" spans="1:2" x14ac:dyDescent="0.3">
      <c r="A32" s="12">
        <v>536409</v>
      </c>
      <c r="B32" s="19">
        <v>3.75</v>
      </c>
    </row>
    <row r="34" spans="1:2" x14ac:dyDescent="0.3">
      <c r="A34" s="20" t="s">
        <v>33</v>
      </c>
      <c r="B34" s="21">
        <f>AVERAGE(B20:B32)</f>
        <v>25.290769230769232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C4FB-EF5C-4617-90F9-D33750610245}">
  <dimension ref="A1:K18"/>
  <sheetViews>
    <sheetView workbookViewId="0">
      <selection activeCell="O26" sqref="O26"/>
    </sheetView>
  </sheetViews>
  <sheetFormatPr defaultRowHeight="14.4" x14ac:dyDescent="0.3"/>
  <cols>
    <col min="1" max="1" width="19.21875" bestFit="1" customWidth="1"/>
    <col min="2" max="2" width="20.88671875" bestFit="1" customWidth="1"/>
    <col min="5" max="5" width="40.6640625" bestFit="1" customWidth="1"/>
    <col min="6" max="6" width="19.88671875" bestFit="1" customWidth="1"/>
    <col min="7" max="7" width="21.6640625" bestFit="1" customWidth="1"/>
  </cols>
  <sheetData>
    <row r="1" spans="1:11" x14ac:dyDescent="0.3">
      <c r="A1" s="23" t="s">
        <v>34</v>
      </c>
      <c r="B1" s="23" t="s">
        <v>35</v>
      </c>
    </row>
    <row r="2" spans="1:11" x14ac:dyDescent="0.3">
      <c r="A2" s="1">
        <v>550.08000000000004</v>
      </c>
      <c r="B2" s="1">
        <v>480.73</v>
      </c>
    </row>
    <row r="3" spans="1:11" x14ac:dyDescent="0.3">
      <c r="A3" s="1">
        <v>373.39</v>
      </c>
      <c r="B3" s="1">
        <v>408.13</v>
      </c>
    </row>
    <row r="4" spans="1:11" x14ac:dyDescent="0.3">
      <c r="A4" s="1">
        <v>397.18</v>
      </c>
      <c r="B4" s="1">
        <v>577.98</v>
      </c>
    </row>
    <row r="5" spans="1:11" x14ac:dyDescent="0.3">
      <c r="A5" s="1">
        <v>362.83</v>
      </c>
      <c r="B5" s="1">
        <v>637.57000000000005</v>
      </c>
      <c r="E5" t="s">
        <v>36</v>
      </c>
    </row>
    <row r="6" spans="1:11" ht="15" thickBot="1" x14ac:dyDescent="0.35">
      <c r="A6" s="1">
        <v>375.35</v>
      </c>
      <c r="B6" s="1">
        <v>454.93</v>
      </c>
    </row>
    <row r="7" spans="1:11" x14ac:dyDescent="0.3">
      <c r="A7" s="1">
        <v>292.86</v>
      </c>
      <c r="B7" s="1">
        <v>418.75</v>
      </c>
      <c r="E7" s="26"/>
      <c r="F7" s="26" t="s">
        <v>34</v>
      </c>
      <c r="G7" s="26" t="s">
        <v>35</v>
      </c>
    </row>
    <row r="8" spans="1:11" x14ac:dyDescent="0.3">
      <c r="A8" s="1">
        <v>247.91</v>
      </c>
      <c r="B8" s="1">
        <v>550.9</v>
      </c>
      <c r="E8" s="24" t="s">
        <v>37</v>
      </c>
      <c r="F8" s="24">
        <v>331.30466666666666</v>
      </c>
      <c r="G8" s="24">
        <v>434.54200000000009</v>
      </c>
    </row>
    <row r="9" spans="1:11" x14ac:dyDescent="0.3">
      <c r="A9" s="1">
        <v>371.51</v>
      </c>
      <c r="B9" s="1">
        <v>227.92</v>
      </c>
      <c r="E9" s="24" t="s">
        <v>38</v>
      </c>
      <c r="F9" s="24">
        <v>8709.5646695238211</v>
      </c>
      <c r="G9" s="24">
        <v>10913.617945714288</v>
      </c>
    </row>
    <row r="10" spans="1:11" x14ac:dyDescent="0.3">
      <c r="A10" s="1">
        <v>148.46</v>
      </c>
      <c r="B10" s="1">
        <v>279.88</v>
      </c>
      <c r="E10" s="24" t="s">
        <v>39</v>
      </c>
      <c r="F10" s="24">
        <v>15</v>
      </c>
      <c r="G10" s="24">
        <v>15</v>
      </c>
    </row>
    <row r="11" spans="1:11" x14ac:dyDescent="0.3">
      <c r="A11" s="1">
        <v>382.91</v>
      </c>
      <c r="B11" s="1">
        <v>377.19</v>
      </c>
      <c r="E11" s="24" t="s">
        <v>40</v>
      </c>
      <c r="F11" s="24">
        <v>0</v>
      </c>
      <c r="G11" s="24"/>
      <c r="I11" s="1" t="s">
        <v>48</v>
      </c>
      <c r="J11" s="1"/>
      <c r="K11" s="1" t="s">
        <v>49</v>
      </c>
    </row>
    <row r="12" spans="1:11" x14ac:dyDescent="0.3">
      <c r="A12" s="1">
        <v>364.95</v>
      </c>
      <c r="B12" s="1">
        <v>427.1</v>
      </c>
      <c r="E12" s="24" t="s">
        <v>41</v>
      </c>
      <c r="F12" s="24">
        <v>28</v>
      </c>
      <c r="G12" s="24"/>
      <c r="I12" s="10">
        <v>8.0287530716557937E-3</v>
      </c>
      <c r="J12" s="1" t="s">
        <v>50</v>
      </c>
      <c r="K12" s="1">
        <v>0.05</v>
      </c>
    </row>
    <row r="13" spans="1:11" x14ac:dyDescent="0.3">
      <c r="A13" s="1">
        <v>269.93</v>
      </c>
      <c r="B13" s="1">
        <v>405.86</v>
      </c>
      <c r="E13" s="24" t="s">
        <v>42</v>
      </c>
      <c r="F13" s="24">
        <v>-2.8542872976621925</v>
      </c>
      <c r="G13" s="24"/>
    </row>
    <row r="14" spans="1:11" x14ac:dyDescent="0.3">
      <c r="A14" s="1">
        <v>336.04</v>
      </c>
      <c r="B14" s="1">
        <v>407.53</v>
      </c>
      <c r="E14" s="24" t="s">
        <v>43</v>
      </c>
      <c r="F14" s="24">
        <v>4.0143765358278969E-3</v>
      </c>
      <c r="G14" s="24"/>
      <c r="I14" s="1" t="s">
        <v>51</v>
      </c>
      <c r="J14" s="1"/>
      <c r="K14" s="1" t="s">
        <v>52</v>
      </c>
    </row>
    <row r="15" spans="1:11" x14ac:dyDescent="0.3">
      <c r="A15" s="1">
        <v>255.5</v>
      </c>
      <c r="B15" s="1">
        <v>466.73</v>
      </c>
      <c r="E15" s="24" t="s">
        <v>44</v>
      </c>
      <c r="F15" s="24">
        <v>1.7011309342659326</v>
      </c>
      <c r="G15" s="24"/>
      <c r="I15" s="27">
        <v>2.0484071417952445</v>
      </c>
      <c r="J15" s="1" t="s">
        <v>50</v>
      </c>
      <c r="K15" s="27">
        <v>2.8542872976621898</v>
      </c>
    </row>
    <row r="16" spans="1:11" x14ac:dyDescent="0.3">
      <c r="A16" s="1">
        <v>240.67</v>
      </c>
      <c r="B16" s="1">
        <v>396.93</v>
      </c>
      <c r="E16" s="24" t="s">
        <v>45</v>
      </c>
      <c r="F16" s="24">
        <v>8.0287530716557937E-3</v>
      </c>
      <c r="G16" s="24"/>
    </row>
    <row r="17" spans="1:7" ht="15" thickBot="1" x14ac:dyDescent="0.35">
      <c r="A17" s="22"/>
      <c r="E17" s="25" t="s">
        <v>46</v>
      </c>
      <c r="F17" s="25">
        <v>2.0484071417952445</v>
      </c>
      <c r="G17" s="25"/>
    </row>
    <row r="18" spans="1:7" x14ac:dyDescent="0.3">
      <c r="A18" s="2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819C-80F4-4026-8509-3B527D0224AC}">
  <dimension ref="A1"/>
  <sheetViews>
    <sheetView workbookViewId="0">
      <selection activeCell="W26" sqref="W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5(INSIGHT)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2026-08-22T12:18:27Z</dcterms:created>
  <dcterms:modified xsi:type="dcterms:W3CDTF">2026-08-22T13:53:11Z</dcterms:modified>
</cp:coreProperties>
</file>